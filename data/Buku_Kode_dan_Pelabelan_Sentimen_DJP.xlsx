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ku Kode" sheetId="1" state="visible" r:id="rId3"/>
    <sheet name="Relabeling" sheetId="2" state="visible" r:id="rId4"/>
    <sheet name="Uji Keandalan Awal" sheetId="3" state="visible" r:id="rId5"/>
    <sheet name="Uji Keandalan Akhir" sheetId="4" state="visible" r:id="rId6"/>
    <sheet name="Ringkasan" sheetId="5" state="visible" r:id="rId7"/>
    <sheet name="Log Duplikat" sheetId="6" state="visible" r:id="rId8"/>
  </sheets>
  <definedNames>
    <definedName function="false" hidden="true" localSheetId="1" name="_xlnm._FilterDatabase" vbProcedure="false">Relabeling!$A$1:$J$265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<sst xmlns="http://schemas.openxmlformats.org/spreadsheetml/2006/main" count="1337" uniqueCount="779">
  <si>
    <t xml:space="preserve">BUKU KODE — ANALISIS SENTIMEN PUBLIK TERHADAP DJP</t>
  </si>
  <si>
    <t xml:space="preserve">Dokumen ini adalah buku kode (codebook) dalam pengertian Neuendorf (2017): definisi operasional lengkap yang memungkinkan orang lain melakukan pengodean atas data yang sama dan memperoleh hasil yang serupa. Dibaca seluruhnya sebelum pengodean dimulai, lalu dipatuhi sampai selesai. Buku kode tidak boleh diubah di tengah pengodean; kasus yang tidak tercakup dicatat pada kolom Catatan, diputuskan sekaligus di akhir, lalu baris terdampak disapu ulang.</t>
  </si>
  <si>
    <t xml:space="preserve">BAGIAN 1 — DEFINISI UNIT</t>
  </si>
  <si>
    <t xml:space="preserve">Krippendorff (2019, Bab 5) membedakan tiga jenis unit yang harus dinyatakan terpisah. Kelalaian menyatakannya adalah sumber ketidaksepakatan yang sering tidak disadari.</t>
  </si>
  <si>
    <t xml:space="preserve">Unit sampling</t>
  </si>
  <si>
    <t xml:space="preserve">Satu postingan utuh pada platform Threads, yaitu satu unggahan beserta seluruh isinya. Balasan terhadap postingan tidak termasuk dan tidak dikumpulkan.</t>
  </si>
  <si>
    <t xml:space="preserve">Unit rekam / pengodean</t>
  </si>
  <si>
    <t xml:space="preserve">Sama dengan unit sampling, yaitu satu postingan utuh menerima satu label. Konsekuensinya diuraikan pada Bagian 2.3.</t>
  </si>
  <si>
    <t xml:space="preserve">Unit konteks</t>
  </si>
  <si>
    <t xml:space="preserve">Teks postingan itu sendiri. Pelabel TIDAK membuka tautan, TIDAK menelusuri utas, dan TIDAK mencari riwayat akun penulis. Seluruh keputusan diambil hanya dari teks yang tampak pada kolom Isi Thread. Aturan ini menjaga agar seluruh pelabel bekerja atas informasi yang sama.</t>
  </si>
  <si>
    <t xml:space="preserve">Yang dikeluarkan</t>
  </si>
  <si>
    <t xml:space="preserve">Emoji, tautan, dan tanda pagar tidak dinilai tersendiri, tetapi boleh dipakai sebagai petunjuk nada apabila teksnya ambigu.</t>
  </si>
  <si>
    <t xml:space="preserve">BAGIAN 2 — DEFINISI KONSEPTUAL</t>
  </si>
  <si>
    <t xml:space="preserve">Liu (2015, Definisi 2.7) merumuskan opini sebagai quintuple (e, a, s, h, t): entitas sasaran, aspek dari entitas itu, sentimen, pemegang opini, dan waktu. Proyek ini menetapkan kelimanya sebagai berikut.</t>
  </si>
  <si>
    <t xml:space="preserve">e — Entitas</t>
  </si>
  <si>
    <t xml:space="preserve">Direktorat Jenderal Pajak sebagai institusi.</t>
  </si>
  <si>
    <t xml:space="preserve">a — Aspek</t>
  </si>
  <si>
    <t xml:space="preserve">GENERAL. Artinya yang dinilai adalah sikap terhadap DJP secara keseluruhan, bukan terhadap aspek tertentu. Kolom Aspek pada lembar pengodean bersifat opsional dan hanya untuk keperluan pengembangan berbasis aspek pada tahap berikutnya; kolom itu tidak memengaruhi label.</t>
  </si>
  <si>
    <t xml:space="preserve">s — Sentimen</t>
  </si>
  <si>
    <t xml:space="preserve">Positif, Negatif, atau Netral. Ditambah kategori Tidak Relevan untuk unit yang tidak memuat opini terhadap e sama sekali.</t>
  </si>
  <si>
    <t xml:space="preserve">h — Pemegang opini</t>
  </si>
  <si>
    <t xml:space="preserve">Penulis postingan. Bila penulis mengutip sikap orang lain, yang dinilai tetap sikap penulis, bukan sikap orang yang dikutip.</t>
  </si>
  <si>
    <t xml:space="preserve">t — Waktu</t>
  </si>
  <si>
    <t xml:space="preserve">Dicatat bila tersedia; tidak memengaruhi label.</t>
  </si>
  <si>
    <t xml:space="preserve">2.1 Cakupan entitas</t>
  </si>
  <si>
    <t xml:space="preserve">Sikap terhadap ketiga hal berikut dihitung sebagai sikap terhadap DJP.</t>
  </si>
  <si>
    <t xml:space="preserve">a. Kebijakan dan aturan</t>
  </si>
  <si>
    <t xml:space="preserve">Ketentuan perpajakan yang dijalankan DJP: tarif, kewajiban lapor, aturan pemotongan, ketentuan atas transaksi tertentu.</t>
  </si>
  <si>
    <t xml:space="preserve">b. Layanan dan proses</t>
  </si>
  <si>
    <t xml:space="preserve">Interaksi wajib pajak dengan DJP: pelayanan kantor, SP2DK, pemeriksaan, sistem dan aplikasi perpajakan.</t>
  </si>
  <si>
    <t xml:space="preserve">c. Pegawai DJP</t>
  </si>
  <si>
    <t xml:space="preserve">Pegawai dalam kapasitasnya sebagai aparat DJP, termasuk gaji, tunjangan, mutasi, dan integritas.</t>
  </si>
  <si>
    <t xml:space="preserve">Di luar ketiganya bukan entitas yang dinilai. Sikap terhadap pemerintah secara umum, terhadap instansi lain, atau terhadap kehidupan pribadi penulis tidak dihitung sebagai sikap terhadap DJP.</t>
  </si>
  <si>
    <t xml:space="preserve">2.2 Definisi tiap nilai sentimen</t>
  </si>
  <si>
    <t xml:space="preserve">POSITIF</t>
  </si>
  <si>
    <t xml:space="preserve">Penulis menyatakan penilaian yang mendukung, memuji, membela, mempercayai, atau berterima kasih kepada DJP, kebijakannya, layanannya, atau pegawainya.</t>
  </si>
  <si>
    <t xml:space="preserve">NEGATIF</t>
  </si>
  <si>
    <t xml:space="preserve">Penulis menyatakan penilaian yang mengkritik, mengeluh, menuduh, menyindir, menolak, atau menyatakan ketidakpercayaan terhadap DJP, kebijakannya, layanannya, atau pegawainya.</t>
  </si>
  <si>
    <t xml:space="preserve">NETRAL</t>
  </si>
  <si>
    <t xml:space="preserve">Penulis menyampaikan informasi, penjelasan, laporan fakta, atau pertanyaan mengenai DJP tanpa penilaian yang berpihak. Termasuk di sini teks yang muatan positif dan negatifnya benar-benar seimbang. Liu (2015) menyebut kategori ini sebagai ungkapan netral, bukan ketiadaan opini.</t>
  </si>
  <si>
    <t xml:space="preserve">TIDAK RELEVAN</t>
  </si>
  <si>
    <t xml:space="preserve">Teks tidak menyinggung DJP menurut Bagian 2.1 sama sekali, sehingga tidak ada entitas e yang dapat dinilai. Contohnya ucapan selamat, perkenalan diri, atau cerita keluarga.</t>
  </si>
  <si>
    <t xml:space="preserve">Keempat nilai bersifat lengkap dan saling terpisah (exhaustive dan mutually exclusive) sebagaimana disyaratkan Neuendorf (2017). Setiap unit menerima tepat satu nilai.</t>
  </si>
  <si>
    <t xml:space="preserve">2.3 Batas yang harus disadari pelabel</t>
  </si>
  <si>
    <t xml:space="preserve">Liu (2015, Asumsi 3.1) menyatakan bahwa klasifikasi pada tingkat dokumen mengandaikan satu dokumen memuat opini atas satu entitas dari satu pemegang opini. Liu secara khusus mencatat asumsi ini berlaku baik untuk ulasan produk, tetapi sering tidak berlaku untuk postingan forum dan blog, karena penulisnya dapat menilai beberapa entitas sekaligus. Data proyek ini berasal dari media sosial, sehingga termasuk jenis yang berisiko. Aturan penanganannya ada pada Bagian 3, butir M1 dan M2.</t>
  </si>
  <si>
    <t xml:space="preserve">BAGIAN 3 — ATURAN KEPUTUSAN</t>
  </si>
  <si>
    <t xml:space="preserve">Dijalankan berurutan. Berhenti pada aturan pertama yang cocok.</t>
  </si>
  <si>
    <t xml:space="preserve">Langkah 1</t>
  </si>
  <si>
    <t xml:space="preserve">Apakah teks menyinggung DJP menurut Bagian 2.1? Bila tidak sama sekali, beri TIDAK RELEVAN dan berhenti.</t>
  </si>
  <si>
    <t xml:space="preserve">Langkah 2</t>
  </si>
  <si>
    <t xml:space="preserve">Apakah penulis menyampaikan penilaian, atau hanya menyampaikan informasi atau pertanyaan?</t>
  </si>
  <si>
    <t xml:space="preserve">Langkah 3</t>
  </si>
  <si>
    <t xml:space="preserve">Terapkan definisi Bagian 2.2. Bila masih ragu, gunakan aturan khusus di bawah.</t>
  </si>
  <si>
    <t xml:space="preserve">Aturan khusus</t>
  </si>
  <si>
    <t xml:space="preserve">K1. Fakta yang berimplikasi</t>
  </si>
  <si>
    <t xml:space="preserve">Liu (2015) menegaskan kalimat yang menyatakan fakta pun dapat menyiratkan sentimen bila fakta itu jelas diinginkan atau tidak diinginkan. Karena itu, pertanyaannya BUKAN apakah teks memuat kata bermuatan, melainkan apakah penulis menyampaikan fakta tersebut untuk menyatakan sesuatu yang tidak diinginkan TENTANG DJP. Bila ya, beri NEGATIF meski tanpa kata bernada negatif.</t>
  </si>
  <si>
    <t xml:space="preserve">K2. Cerita untuk mengedukasi</t>
  </si>
  <si>
    <t xml:space="preserve">Cerita tentang orang yang kena denda atau diperiksa TIDAK otomatis negatif. Bila cerita dipakai untuk menjelaskan aturan dan penulis tidak menyalahkan DJP, beri NETRAL. Bila cerita dipakai untuk menyalahkan DJP atau aturannya, beri NEGATIF. Pembeda utamanya: siapa yang ditempatkan sebagai pihak yang keliru.</t>
  </si>
  <si>
    <t xml:space="preserve">K3. Pertanyaan murni</t>
  </si>
  <si>
    <t xml:space="preserve">Teks yang hanya bertanya, tanpa keluhan atau sindiran yang menempel, diberi NETRAL.</t>
  </si>
  <si>
    <t xml:space="preserve">K4. Sentimen rasional</t>
  </si>
  <si>
    <t xml:space="preserve">Liu (2015, Definisi 2.5) membedakan sentimen rasional dari sentimen emosional. Sikap yang disampaikan dengan nada datar dan berdasar pertimbangan tetap dihitung sebagai sentimen. Ketiadaan luapan emosi bukan alasan memberi NETRAL.</t>
  </si>
  <si>
    <t xml:space="preserve">K5. Kritik ke luar DJP</t>
  </si>
  <si>
    <t xml:space="preserve">Keluhan mengenai korupsi atau penggunaan uang pajak oleh pihak di luar DJP diberi TIDAK RELEVAN, KECUALI penulis menarik kesimpulan mengenai DJP atau mengenai kemauannya membayar pajak. Bila ya, beri NEGATIF.</t>
  </si>
  <si>
    <t xml:space="preserve">K6. Membela pegawai</t>
  </si>
  <si>
    <t xml:space="preserve">Menyebut beban kerja berat, risiko pekerjaan, atau gaji yang tidak sebesar anggapan orang, dengan nada membela, diberi POSITIF meskipun kosakatanya banyak yang bernada negatif.</t>
  </si>
  <si>
    <t xml:space="preserve">K7. Sarkasme</t>
  </si>
  <si>
    <t xml:space="preserve">Dinilai dari maksudnya, bukan dari kata-katanya. Liu (2015) mencatat sarkasme jarang muncul pada ulasan produk tetapi sering muncul pada percakapan bertema politik, sehingga pada data ini sarkasme harus diperiksa secara aktif. Pujian yang jelas menyindir diberi NEGATIF.</t>
  </si>
  <si>
    <t xml:space="preserve">M1. Teks campuran</t>
  </si>
  <si>
    <t xml:space="preserve">Bila ada sisi positif dan negatif terhadap DJP, ambil sikap yang dominan; biasanya terlihat pada kalimat penutup. Bila benar-benar seimbang, beri NETRAL dan tulis "campuran" pada kolom Catatan.</t>
  </si>
  <si>
    <t xml:space="preserve">M2. Beberapa entitas</t>
  </si>
  <si>
    <t xml:space="preserve">Bila teks menilai DJP dan juga menilai pihak lain, yang dilabeli hanya sikap terhadap DJP. Bila sikap terhadap DJP tidak dapat dipisahkan dari sikap terhadap pihak lain, beri TIDAK RELEVAN dan tulis "entitas bercampur" pada kolom Catatan.</t>
  </si>
  <si>
    <t xml:space="preserve">L1. Larangan kata kunci</t>
  </si>
  <si>
    <t xml:space="preserve">Kata "pajak", "denda", "sanksi", "periksa" bukan penanda negatif. Kata "terima kasih" bukan penanda positif. Yang dinilai maksud kalimat, bukan kemunculan kata.</t>
  </si>
  <si>
    <t xml:space="preserve">L2. Larangan menebak</t>
  </si>
  <si>
    <t xml:space="preserve">Pelabel tidak boleh menduga maksud penulis di luar teks yang tersedia. Bila teks terlalu ambigu untuk diputuskan, beri nilai terbaik menurut aturan dan tandai kolom Catatan dengan "ragu".</t>
  </si>
  <si>
    <t xml:space="preserve">BAGIAN 4 — CONTOH TERKALIBRASI</t>
  </si>
  <si>
    <t xml:space="preserve">Diambil dari data ini. Contoh dibaca sebelum pengodean dimulai.</t>
  </si>
  <si>
    <t xml:space="preserve">No. 8 — "Gaji pegawai DJP itu gak setinggi yg kt bayangin... Resiko yg mereka hadapi gak ringan..." Kosakatanya negatif, tetapi maksudnya membela pegawai. Berlaku K6.</t>
  </si>
  <si>
    <t xml:space="preserve">No. 61 — "Menjadi PNS DJP, pasti sudah siap dgn segala konsekuensi sejak awal..." Menempatkan pegawai DJP secara terhormat, disampaikan dengan nada datar. Berlaku K4.</t>
  </si>
  <si>
    <t xml:space="preserve">No. 231 — "pajak nih dimana2 menghambat orang2 untuk maju ya" — menolak kebijakan perpajakan.</t>
  </si>
  <si>
    <t xml:space="preserve">No. 12 — "Gak layak org pajak dikasih gaji besar..." — mengkritik pegawai DJP.</t>
  </si>
  <si>
    <t xml:space="preserve">No. 195 — "DJP TUTUP MULUT AJA DECH daripada Blunder Muluu" — mengkritik komunikasi institusi.</t>
  </si>
  <si>
    <t xml:space="preserve">No. 254 — cerita teman kena denda karena lupa lapor SPT, ditutup dengan penjelasan mengapa pelaporan tetap wajib. Cerita dipakai mengedukasi dan DJP tidak ditempatkan sebagai pihak yang keliru. Berlaku K2. Contoh ini penting karena tampak negatif pada pembacaan sekilas.</t>
  </si>
  <si>
    <t xml:space="preserve">No. 69 — "Menurut Anda, data apa yang paling sering memicu SP2DK dari DJP?" Berlaku K3.</t>
  </si>
  <si>
    <t xml:space="preserve">No. 242 — "AR sebenarnya sudah bisa membaca SPT mu..." — penjelasan teknis tanpa penilaian.</t>
  </si>
  <si>
    <t xml:space="preserve">No. 9 — "Hari ini di DJP ada pelantikan atas promosi/mutasi pejabat eselon IV..." — laporan fakta.</t>
  </si>
  <si>
    <t xml:space="preserve">No. 1 — "Selamat atas promosinya suamiku sayang..." — tidak ada entitas DJP yang dinilai.</t>
  </si>
  <si>
    <t xml:space="preserve">No. 11 — "Hi kenalin aku Virda seorang istri yang ikut bersama suami bekerja..." — perkenalan diri.</t>
  </si>
  <si>
    <t xml:space="preserve">BAGIAN 5 — PROSEDUR PENGODEAN</t>
  </si>
  <si>
    <t xml:space="preserve">Neuendorf (2017) menempatkan pelatihan pelabel dan pengukuran keandalan sebagai langkah tersendiri sebelum pengodean penuh, bukan sebagai pemeriksaan di akhir.</t>
  </si>
  <si>
    <t xml:space="preserve">Tahap 1 — Pelatihan</t>
  </si>
  <si>
    <t xml:space="preserve">Baca seluruh buku kode. Kerjakan 20 baris pertama pada lembar Relabeling, lalu berhenti dan periksa ulang keputusannya terhadap Bagian 3 dan 4.</t>
  </si>
  <si>
    <t xml:space="preserve">Tahap 2 — Uji awal</t>
  </si>
  <si>
    <t xml:space="preserve">Kerjakan lembar "Uji Keandalan Awal" (40 unit). Bila tersedia pelabel kedua, kedua pelabel mengerjakan lembar yang sama secara terpisah tanpa saling melihat. Bila hanya ada satu pelabel, kerjakan dua kali dengan jeda minimal satu hari, tanpa melihat hasil pertama. Hitung alpha melalui notebook.</t>
  </si>
  <si>
    <t xml:space="preserve">Tahap 3 — Keputusan</t>
  </si>
  <si>
    <t xml:space="preserve">alpha di bawah 0,667: perbaiki buku kode pada kategori yang bermasalah, ulangi uji, dan jangan mulai pengodean penuh. alpha 0,667 sampai 0,800: pengodean boleh berjalan tetapi hasilnya dinyatakan sementara. alpha di atas 0,800: lanjutkan.</t>
  </si>
  <si>
    <t xml:space="preserve">Tahap 4 — Pengodean penuh</t>
  </si>
  <si>
    <t xml:space="preserve">Isi kolom LABEL BARU pada lembar Relabeling untuk seluruh 264 baris. Kolom Label Lama tidak boleh dilihat saat memutuskan; kolom itu hanya untuk dokumentasi perubahan.</t>
  </si>
  <si>
    <t xml:space="preserve">Tahap 5 — Uji akhir</t>
  </si>
  <si>
    <t xml:space="preserve">Kerjakan lembar "Uji Keandalan Akhir" (50 unit lain, dipilih acak). Nilai alpha dari tahap inilah yang dilaporkan bersama hasil penelitian, bukan nilai dari uji awal.</t>
  </si>
  <si>
    <t xml:space="preserve">BAGIAN 6 — STANDAR KEANDALAN</t>
  </si>
  <si>
    <t xml:space="preserve">Krippendorff (2019, Bab 12) merekomendasikan alpha, bukan persentase kesepakatan mentah, karena persentase kesepakatan tidak mengoreksi kesepakatan yang dapat terjadi secara kebetulan. Pada data yang kelasnya timpang, dua pelabel yang sama-sama cenderung memilih kelas mayoritas dapat mencapai persentase kesepakatan tinggi tanpa benar-benar sepakat atas kategorinya.</t>
  </si>
  <si>
    <t xml:space="preserve">alpha &gt;= 0,800</t>
  </si>
  <si>
    <t xml:space="preserve">Data dapat diandalkan dan layak dipakai menarik kesimpulan.</t>
  </si>
  <si>
    <t xml:space="preserve">0,667 &lt;= alpha &lt; 0,800</t>
  </si>
  <si>
    <t xml:space="preserve">Hanya untuk kesimpulan sementara. Definisi kategori perlu dipertajam.</t>
  </si>
  <si>
    <t xml:space="preserve">alpha &lt; 0,667</t>
  </si>
  <si>
    <t xml:space="preserve">Data belum layak. Buku kode diperbaiki dan pengodean diulang.</t>
  </si>
  <si>
    <t xml:space="preserve">Krippendorff menambahkan bahwa keputusan sebaiknya tidak diambil dari satu angka saja, melainkan dari selang kepercayaannya: data ditolak bila batas bawah selang turun di bawah ambang minimum. Notebook menghitung selang ini melalui bootstrap.</t>
  </si>
  <si>
    <t xml:space="preserve">Selain angka alpha, periksa juga matriks silang Pelabel A terhadap Pelabel B yang dihasilkan notebook. Neuendorf (2017) menyarankan langkah ini karena matriks menunjukkan pasangan kategori mana yang tertukar secara sistematis; ketidaksepakatan yang terpusat pada satu pasangan menandakan definisi kategori yang belum tegas, bukan kecerobohan pelabel.</t>
  </si>
  <si>
    <t xml:space="preserve">RUJUKAN</t>
  </si>
  <si>
    <t xml:space="preserve">Krippendorff, K. (2019). Content Analysis: An Introduction to Its Methodology (4th ed.). SAGE.</t>
  </si>
  <si>
    <t xml:space="preserve">Liu, B. (2015). Sentiment Analysis: Mining Opinions, Sentiments, and Emotions. Cambridge University Press.</t>
  </si>
  <si>
    <t xml:space="preserve">Neuendorf, K. A. (2017). The Content Analysis Guidebook (2nd ed.). SAGE.</t>
  </si>
  <si>
    <t xml:space="preserve">ID</t>
  </si>
  <si>
    <t xml:space="preserve">No Asli</t>
  </si>
  <si>
    <t xml:space="preserve">Username</t>
  </si>
  <si>
    <t xml:space="preserve">Tanggal</t>
  </si>
  <si>
    <t xml:space="preserve">Isi Thread</t>
  </si>
  <si>
    <t xml:space="preserve">Label Lama</t>
  </si>
  <si>
    <t xml:space="preserve">Konflik Label</t>
  </si>
  <si>
    <t xml:space="preserve">LABEL BARU</t>
  </si>
  <si>
    <t xml:space="preserve">ASPEK (opsional)</t>
  </si>
  <si>
    <t xml:space="preserve">Catatan</t>
  </si>
  <si>
    <t xml:space="preserve">_vinetta</t>
  </si>
  <si>
    <t xml:space="preserve">2026-03-03</t>
  </si>
  <si>
    <t xml:space="preserve">Qadarullah semalam terima kabar ini
Selamat atas promosinya suamiku sayang. Semoga selalu langkahmu dimudahkan Allah swt..
Semangat untuk keluarga kecil kita yaa
Aku selalu sayang sama kamu mas. Selama ini dari awal menikah sampai 3 tahun LDM-nya masih ketemu seminggu sekali. Sekarang belum ada bayangan sih bakal gimana Dan aku lagi tubel di STAN. Jadi semoga aku bisa menyelesaikan studiku dengan baik juga, sambil jaga bayi mungil inii Mohon doanya</t>
  </si>
  <si>
    <t xml:space="preserve">positif</t>
  </si>
  <si>
    <t xml:space="preserve">nrachman77</t>
  </si>
  <si>
    <t xml:space="preserve">2026-03-24</t>
  </si>
  <si>
    <t xml:space="preserve">Saya punya teman orang pajak. Tiap hari ketika kerja selalu was was, kerja ga enak hati dan pikirannya suka ga fokus. Salah satu yang bikin ia tenang jika ibadah tepat waktu, rata2 pegawai pajak itu rajin ibadah. Sholat tepat waktu suka sedekah dll. Dengan harapan bisa menyeimbangkan dengan pekerjaan utamanya. Saya ga banyak komentar, ia tau tentang hadis pemungut pajak namun belum bisa move ke pekerjaan lain. Barangkali disini ada yang pernah kerja sebagai pegawai pajak dan gmn cr bsa pindah</t>
  </si>
  <si>
    <t xml:space="preserve">negatif</t>
  </si>
  <si>
    <t xml:space="preserve">nafkahnation.dx</t>
  </si>
  <si>
    <t xml:space="preserve">2026-04-19</t>
  </si>
  <si>
    <t xml:space="preserve">Temen gw kerja di KPP Pratama. Bagian pelayanan. Bukan pemeriksa. Bukan konsultan pajak. Tiap minggu dia liat org dateng, bawa map berisi sertifikat rumah warisan orang tua. Dateng buat urus pajak balik nama.Wajah mereka sama semua: kaget, bingung, marah.Dia sebut satu angka yg bikin gw mules:"90% dari mereka harusnya bayar NOL. Bukan puluhan juta. Tapi gak ada yg kasih tau." Ada satu surat. Namanya S** P**. Dan hampir gak ada warga yg tau.</t>
  </si>
  <si>
    <t xml:space="preserve">ikramlabs</t>
  </si>
  <si>
    <t xml:space="preserve">2025-04-21</t>
  </si>
  <si>
    <t xml:space="preserve">Tadi habis nyimak rekan instansi gue nyeritain pengalamannya dia kerja di Ditjen Pajak. Salah satu Wajib Pajak (WP) yang dia urus datengin ruang kerjanya di sore hari banget menjelang maghrib sambil bawa kardus yang besarnya mencolok dan berat banget bersama dengan konsultan pajaknya dia. Kantor udah sepi, temen-temennya udah pada pulang juga. Pas temen gue ini liat tuh kardus isinya uang tunai pecahan seratus ribuan penuh! Si konsultan bilang "mas ini buat kamu, kasih juga si bos ya".
Singkat cerita rekan gue itu nolak ya.
Konsultan langsung putus asa dong, duit segitu ditolak ya mau ngapain lagi coba? Tapi nggak lama si konsultan bilang, "waktu itu saya pernah ngurus ginian juga di Jambi, pegawainya sama sok-nya kayak kamu. Terakhir saya dapet info istri sama anaknya meninggal".
Temen gue jawab dengan statement yang gue udah sangat paham sebenernya, tapi kalau gue di posisi dia saat itu pasti udah naik darah duluan lah. Gila aja nih orang bawa-bawa keluarga dan ngancem nyawa segala. Jadilah statement "biasa" yang udah gue tahu itu berasa jauh lebih menyentuh hati dengernya.
Dia bilang,
"kalau Allah takdirkan saya atau keluarga saya meninggal di hari tertentu, maka siapapun nggak bisa mencegah dan nggak bisa juga mempercepatnya</t>
  </si>
  <si>
    <t xml:space="preserve">sherlyajawes</t>
  </si>
  <si>
    <t xml:space="preserve">2026-04-07</t>
  </si>
  <si>
    <t xml:space="preserve">Semalam aku cerita ke suamiku soal aturan pajak marketplace yg baru. Dan nemu insight menarik…
🤦🏻‍♀️ Aku 🙋🏻 Suami
🤦🏻‍♀️ : sistemnya DJP ini aneh, bukannya fokus ke penjual yg udah 500jt keatas, tapi yg dibawah 500jt juga wajib isi pernyataan omzet kalo gak mau kepotong pajak
🙋🏻: ohh gituu, jadi semua penjual walaupun omzet dibawah 500jt tetep ngisi?
🙋🏻 : intinya DJP mau mendeteksi pedagang sejak dini. Mau omzetmu msh 5jt kek, 10jt kek, pas km ngumpulin pernyataan dan data penghasilan otomatis mereka tau km punya usaha di marketplace. Kalo suatu saat nanti bisnismu berkembang mencapai 500jt, maka kewajibanmu sebagai wajib pajak auto aktif. Sistem defaultnya adalah potong pajak, makanya pernyataan omzet menjadi satu syarat supaya km gak dipotong pajak dan shopee pny dasar hukum knp km gak dipotong pajak. Bonusnya, DJP dpt datamu jg.</t>
  </si>
  <si>
    <t xml:space="preserve">netral</t>
  </si>
  <si>
    <t xml:space="preserve">hafizrizalm</t>
  </si>
  <si>
    <t xml:space="preserve">2026-04-30</t>
  </si>
  <si>
    <t xml:space="preserve">Temen gue orang pajak. Dia bilang gini: "Bro, orang Indonesia itu takut warisan bukan krn rebutan. Tapi krn PAJAKNYA." Gue tanya: "Emang warisan kena pajak?" Dia ketawa bisa rausan Juta BRO. Satu kalimat dia yg bikin gue langsung telpon nyokap bahas sertifikat rumah.</t>
  </si>
  <si>
    <t xml:space="preserve">jnsjnsjnsjnsjnss</t>
  </si>
  <si>
    <t xml:space="preserve">2026-12-05</t>
  </si>
  <si>
    <t xml:space="preserve">Lulus STAN Tahun 2018, penempatan Kemenkeu, penempatan homebase dari 2019-sekarang, seru-seru aja. Bangun pagi bisa santai sempat olahraga, masuk-pulang tenggo, bisa sambil kuliah, no complaints sih sampai detik ini. Makasih STAN</t>
  </si>
  <si>
    <t xml:space="preserve">irwandiferry</t>
  </si>
  <si>
    <t xml:space="preserve">2026-07-16</t>
  </si>
  <si>
    <t xml:space="preserve">Gaji pegawai DJP itu gak setinggi yg kt bayangin, termasuk tinggi memang dibanding banyak instansi yang lain, tapi gak sampai buat diri lu jadi auto sultan dsb. untuk level staff, gaji mereka dibawah PNS pemda DKI, dibawah BI, dibawah OJK, dan masih kalah dengan banyak gaji staf di berbagai BUMN. Resiko yg mereka hadapi gak ringan, keselamatan terancam, beberapa meninggal dalam tugas, dianggap ancaman oleh masyarakat, belum lagi sistem mutasi seluruh indonesia</t>
  </si>
  <si>
    <t xml:space="preserve">sapto_su</t>
  </si>
  <si>
    <t xml:space="preserve">2026-08-04</t>
  </si>
  <si>
    <t xml:space="preserve">Hari ini di DJP ada pelantikan atas promosi/mutasi pejabat eselon IV. Saya lihat daftarnya, ada beberapa AR yang dipromosikan dengan lokasi penempatan yang relatif jauh, misalnya dari Jakarta ke Atambua atau Jayapura, bahkan dari Medan ke Waingapu. Jadi ingat, dulu pernah ada seorang AR menelepon saya di malam hari, menanyakan apakah ada lowongan di tempat saya. Ternyata beliau termasuk dalam SK promosi yang baru saja keluar, dipromosikan menjadi Kepala Seksi di salah satu KPP di Papua.</t>
  </si>
  <si>
    <t xml:space="preserve">agusmaulana122019</t>
  </si>
  <si>
    <t xml:space="preserve">2025-07-28</t>
  </si>
  <si>
    <t xml:space="preserve">Saya ex-pajak. Saya kabari ga enaknya jadi pegawai pajak: 1. Mutasi Nasional, saya pernah di papua 6 tahun. Harus siap jauh dari keluarga. Pengelolaan keluarga jadi rumit. Mahal pula. 2. Kerja sebagai pemberi sanksi. Waktu itu jabatan saya pemeriksa. Pengusaha indo banyak yang ga siap sama pengujian. Ga ngerti kalo bisnis itu wajib didokumentasikan. Memberi sanksi sama pengusaha nakal adalah kebanggaan, tapi sama yang ga ngerti, jadinya perasaan bersalah. 3. Nanti saya terusin.</t>
  </si>
  <si>
    <t xml:space="preserve">virdahusna</t>
  </si>
  <si>
    <t xml:space="preserve">2026-01-16</t>
  </si>
  <si>
    <t xml:space="preserve">Hi kenalin aku Virda seorang istri yang ikut bersama suami bekerja berteman dengan mutasi 🌻</t>
  </si>
  <si>
    <t xml:space="preserve">iqbalhabibi90</t>
  </si>
  <si>
    <t xml:space="preserve">2024-10-15</t>
  </si>
  <si>
    <t xml:space="preserve">Gak layak org pajak dikasih gaji besar Sektor swasta yg harusnya dikasih insentif sebesar mungkin krn swastalah yg nyata² menggerakkan roda ekonomi negara Kalo pendapatan sektor pajak capai target, itu sebenernya bukan prestasi mereka, tp prestasi para pekerja dan pengusaha Kok bisa²nya pegawai pajak yg digelontor bonus prestasi</t>
  </si>
  <si>
    <t xml:space="preserve">terajanajunu</t>
  </si>
  <si>
    <t xml:space="preserve">2026-07-22</t>
  </si>
  <si>
    <t xml:space="preserve">Tugas DJP tu skrg sulit ya Pajak dan kerelaan org bayar pajak makin tergerus akibat oknum2 yg menggunakan uang pajak rakyat serampangan Gimana org mau rela bayar pajak kalau gak ada lagi trust yg tercpta</t>
  </si>
  <si>
    <t xml:space="preserve">Ya</t>
  </si>
  <si>
    <t xml:space="preserve">pra7z</t>
  </si>
  <si>
    <t xml:space="preserve">Resign dari DJP tuh salah satu perks-nya ya bisa "dijual" "ex-DJP"-nya. Terima kasih DJP. 🏃‍♂️🏃‍♂️🏃‍♂️</t>
  </si>
  <si>
    <t xml:space="preserve">jdp_1107</t>
  </si>
  <si>
    <t xml:space="preserve">Rame thread DJP resign berjamaah. Untuk para senior yang sudah resign dari DJP apakah ada yang menyesal? Ternyata kerjaan di luar DJP tidak seindah yang dibayangkan. Dan ternyata di DJP tidak seburuk itu?</t>
  </si>
  <si>
    <t xml:space="preserve">wyomilliron3</t>
  </si>
  <si>
    <t xml:space="preserve">2025-05-15</t>
  </si>
  <si>
    <t xml:space="preserve">Isn’t that so the truth. Prefect is boring, it’s the struggle that makes us who we are. -DJP 2025</t>
  </si>
  <si>
    <t xml:space="preserve">wolandgarro</t>
  </si>
  <si>
    <t xml:space="preserve">2025-08-25</t>
  </si>
  <si>
    <t xml:space="preserve">1/ Konflik kepentingan di DJP &amp; KPP udah di level memprihatinkan. Temen gua eks KPP cerita: banyak petugas pajak yang… istrinya ternyata konsultan pajak. Kebayang gak? Di satu sisi dia punya power, di sisi lain istrinya main di bisnis yang bisa “ngurusin” WP. Dia tau titik lemah di mana, tau cara mainin, dan tau gimana deal. Polanya? Mereka nembak angka asal2an. WP ditekan, lalu ujungnya “ketemu di tengah” dgnn kontribusi. Mereka nyaman menekan semua orang karena sistemnya ngasih ruang buat itu.</t>
  </si>
  <si>
    <t xml:space="preserve">lesssummernotes</t>
  </si>
  <si>
    <t xml:space="preserve">2025-07-30</t>
  </si>
  <si>
    <t xml:space="preserve">Djp adalah institusi pengawasan kepatuhan perpajakan. Ada institusi lain yang mengelola penerimaan negara. DJPONLINE adalah aplikasi yg digunakan DJP utk 2024 dan sebelumnya. Coretax, aplikasi terintegrasi yg digunakan DJP sejak 2025.</t>
  </si>
  <si>
    <t xml:space="preserve">unaisatuzzahro</t>
  </si>
  <si>
    <t xml:space="preserve">2026-04-04</t>
  </si>
  <si>
    <t xml:space="preserve">Dulu, suami adalah pegawai Kemen*** D*P dengan THP 2 digit. Setelah 14 tahun, akhirnya memutuskan untuk mengundurkan diri dengan hormat setelah maju mundur, beberapa kali mengambil cuti. Waktu itu, rumah masih ngontrak dan ada tabungan yang hanya cukup buat DP rumah di daerah tangsel. Sudah 5 tahun berlalu...</t>
  </si>
  <si>
    <t xml:space="preserve">by_marhentin.ika</t>
  </si>
  <si>
    <t xml:space="preserve">2025-06-20</t>
  </si>
  <si>
    <t xml:space="preserve">22 tahun yg lalu resmi penempatan di DJP, di KPP Tamansari Dua, sbg pelaksana di Seksi PPh Badan. Lokasi kantornya masih di ruko2 di Jln Gajah Mada, Jakarta Barat. Sekarang KPPnya sudah dilikuidasi, hanya tertinggal KPP Jakarta Tamansari. 22 tahun terlewati, udah ketemu ribuan wajib pajak dan ngalamin ribuan cerita. Pernah dimaki-maki sampe nangis, pernah juga dibawain es jeruk setermos gede sama wajib pajak pas piket SPT Tahunan, sampe dijodohin sama anaknya wajib pajak juga pernah😁</t>
  </si>
  <si>
    <t xml:space="preserve">shesarhikmainsana</t>
  </si>
  <si>
    <t xml:space="preserve">2026-06-22</t>
  </si>
  <si>
    <t xml:space="preserve">Baru resign dari DJP setelah masa kerja 17th. Enaknya kerja apaan ya? Ada sih usaha. Tp masih banyak waktu luangnya. Need advice dong? Ga bisa diem soalnya.</t>
  </si>
  <si>
    <t xml:space="preserve">silvesteralan_</t>
  </si>
  <si>
    <t xml:space="preserve">2026-10-05</t>
  </si>
  <si>
    <t xml:space="preserve">Rame nih algoritma nunjukin utas tentang PKN STAN, PNS Kemenkeu, dan Resign. Pas banget saya Lulus STAN 2018, Jadi PNS Kemenkeu 2019 penempatan kantor pusat, resign 2024. Banyak hal yang bisa dishare, yang selam ini cuma diomongin ke org terdekat aja, dan kebetulan circle saya juga ex pns kemenkeu juga rata2</t>
  </si>
  <si>
    <t xml:space="preserve">fitraharis.batupahat</t>
  </si>
  <si>
    <t xml:space="preserve">2026-12-03</t>
  </si>
  <si>
    <t xml:space="preserve">Ternyata di thread ini lumayan banyak cerita tentang DJP dan seputarnya ya. Saya juga alumni DJP yang resign 2023 lalu. Pengen cerita sedikit tapi ini malam ganjil. Kalo agak rame insyaa Allah besok siang kita cerita ya. Saya janji yang diceritain tentang pegawai yang baik2 aja</t>
  </si>
  <si>
    <t xml:space="preserve">ilhaamrmdn</t>
  </si>
  <si>
    <t xml:space="preserve">2026-09-05</t>
  </si>
  <si>
    <t xml:space="preserve">Lagi ramai bahas STAN, jadi pengen sedikit cerita kenapa akhirnya aku memutuskan resign setelah 3 tahun kerja, padahal sudah di 'Kemensultan</t>
  </si>
  <si>
    <t xml:space="preserve">yeshafdrna</t>
  </si>
  <si>
    <t xml:space="preserve">2025-08-11</t>
  </si>
  <si>
    <t xml:space="preserve">Punya sepupu ASN di Kementerian eselon yang katanya THP paling tinggi se Indonesia. Usia 34thn udah Kepala Seksi, sering dapat penghargaan (gak pernah di post di sosmed taunya dari tante yg post di group wa keluarga 🤭), istrinya dokter spesialis minor, praktek 3 hari aja/minggu sisanya ngurus anak2. Mobil sepupuku keluaran thn 90an beli bekas, kacanya masih diputar. Mobil istrinya city car beli bekas juga. Istrinya gak pernah pake tas branded pakenya tas UMKM</t>
  </si>
  <si>
    <t xml:space="preserve">aariakbr</t>
  </si>
  <si>
    <t xml:space="preserve">2026-03-07</t>
  </si>
  <si>
    <t xml:space="preserve">Kalau sesuai hadist: Pegawai DJP dan bea cukai tidak akan masuk surga</t>
  </si>
  <si>
    <t xml:space="preserve">(kosong)</t>
  </si>
  <si>
    <t xml:space="preserve">ander95bnbn</t>
  </si>
  <si>
    <t xml:space="preserve">2026-05-28</t>
  </si>
  <si>
    <t xml:space="preserve">TUKIN pegawai pajak emang rata-rata gede banget ya? Di DJP, yg level pelaksana aja bisa dapat 5 juta sebulan.</t>
  </si>
  <si>
    <t xml:space="preserve">benane_fashion</t>
  </si>
  <si>
    <t xml:space="preserve">SYUKURLAH BILA PURBAYA AKAN MENYEIMBANGKAN GAJI PARA ASN DISELURUH KEMENTERIAN DAN LEMBAGA2 PEMERINTAH DI RI. Sudah puluhan tahun, gaji pegawai Kementerian Keuangan secara resmi jauh lebih tinggi dari seluruh kementerian di Republik ini. Apalagi jajaran ditjen Pajak, Bea Cukai dan Perbendaharaan Negara. Alasannya supaya mereka bisa lebih jujur! Bullshit!</t>
  </si>
  <si>
    <t xml:space="preserve">meeyaardouli</t>
  </si>
  <si>
    <t xml:space="preserve">Hampir mustahil sih…. Gaji pegawai djp tinggi itu tujuannya mencegah brain drain supaya pegawainya ngga pada kabur jadi konsultan, pindah jadi tax manager persh swasta, atau pindah ke pemda yg ga terancam mutasi nasional rutin tiap 2-3 tahun sekali. Kalau ga ada benefit sama sekali dibanding bebannya (termasuk beban hujatan dan doa masuk neraka dri netijen), yakin byk yg resign/pindah pemda, terutama yg pinter2. Risiko ke pengamanan penerimaan negara kalo mereka berbalik mengamankan laba pershn</t>
  </si>
  <si>
    <t xml:space="preserve">2025-03-16</t>
  </si>
  <si>
    <t xml:space="preserve">Beberapa hari ini dapet DM dr temen2 internal DJP karena postingan saya seputar edukasi pajak muncul di akun mereka. Rata2 menyemangati karena memang ngga banyak pegawai DJP yg nekat muncul di medsos, kenalan bahwa mereka kerja di DJP. Ada 1 DM yg langsung tanya “bu ngga takut kena hujatan di medsos?”</t>
  </si>
  <si>
    <t xml:space="preserve">widhingrh</t>
  </si>
  <si>
    <t xml:space="preserve">2026-05-27</t>
  </si>
  <si>
    <t xml:space="preserve">pertama mau disclaimer no offense yak itu yg kerja di DJP mau sebagai AR atau apalah, kan mereka punya KPI atau target untuk pemasukan ke negara, kurang lebih seperti sales gak sih ? kan sama” harus ada pemasuk untuk perusahaan, bedanya ya sales jual produk/jasa, DJP jual kesalahan WP 😭🙏🏻 (soalnya tiap tahun tuh keluarin surat cinta mulu, minta klarifikasi data)</t>
  </si>
  <si>
    <t xml:space="preserve">pegawhy_negeri_swasta</t>
  </si>
  <si>
    <t xml:space="preserve">Ga sepakat...asumsi saya, Dimana2 djp lebih tinggi thp nya dibanding 80 - 90 persen pemda seindonesia</t>
  </si>
  <si>
    <t xml:space="preserve">ekkyarnindi</t>
  </si>
  <si>
    <t xml:space="preserve">Saya kerja di instansi pemda, suami di DJP. Belanja pegawai setahun di instansi saya 3,6 miliar untuk 39 pegawai. Suami saya waktu itu masih AR yang punya tim kerja 5-6 orang dengan target pemasukan ke negara lebih 5 miliar selama setahun. Itu artinya gaji 39 orang pegawai di satu instansi pemda itu dibackup dengan kinerja tidak lebih dari 5 orang pegawai DJP. Itu artinya wajar THP mereka lebih tinggi dari instansi lain.</t>
  </si>
  <si>
    <t xml:space="preserve">cremona_97</t>
  </si>
  <si>
    <t xml:space="preserve">2025-10-09</t>
  </si>
  <si>
    <t xml:space="preserve">Oo namanya imbalan prestasi kinerja (IPK) di djp... Bukan avanza baru tp kl seken dapet lah</t>
  </si>
  <si>
    <t xml:space="preserve">syifaahmgold</t>
  </si>
  <si>
    <t xml:space="preserve">2026-06-30</t>
  </si>
  <si>
    <t xml:space="preserve">Saya di KOMCAD kan lalu di tekan ini itu kak, dari kementerian yg katanya sultan. Tes kesehatan KOMCAD penuh ma-ni-pu-la-si, daripada saya mati kaya yg udh ada...Lalu saya memilih resign sekalian</t>
  </si>
  <si>
    <t xml:space="preserve">zeinelarham</t>
  </si>
  <si>
    <t xml:space="preserve">Setau saya ASN Kemenkeu DJP paling ramah Ibu dan Anak, seperti ada : ruang Laktasi, kemudahan izin jika anak sakit, ada ruang bermain jika izin bawa anak ke kantor. Jadi ASN yang pas buat perempuan, sepertinya Kemenkeu. Buat perempuan ASN yang di Kemenkeu DJP, jangan resign karena ramah ibu dan anak. entah kalo ASN kementerian lain.</t>
  </si>
  <si>
    <t xml:space="preserve">pajaksmart</t>
  </si>
  <si>
    <t xml:space="preserve">2026-04-21</t>
  </si>
  <si>
    <t xml:space="preserve">Laporan Kinerja DJP 2025 Larangan Merekam Gak Dibahas niih ??</t>
  </si>
  <si>
    <t xml:space="preserve">accelerationtax</t>
  </si>
  <si>
    <t xml:space="preserve">Perspektif Internal DJP: Trigger Undangan bagi Wajib Pajak Orang Pribadi. Tahun lalu, tim kami sempat berdiskusi santai dengan salah satu mantan pegawai DJP. Banyak cerita yang kami dapatkan dari perspektif internal, salah satunya adalah trigger dasar mereka untuk mengundang Wajib Pajak melalui SP2DK, Helicopter View yang menjadi dasar analisis dari suatu grup perusahaan atau perusahaan afiliasi, dan masih banyak lagi.</t>
  </si>
  <si>
    <t xml:space="preserve">resletingkolor</t>
  </si>
  <si>
    <t xml:space="preserve">2026-07-15</t>
  </si>
  <si>
    <t xml:space="preserve">Tiap ketemu WP, "sy ikhlas bayar kalau uangnya ga dikorupsi". Saya jg setuju Pak.....</t>
  </si>
  <si>
    <t xml:space="preserve">Waah smoga makin bersinar diluar DJP ya kak, makin sukses dan berkah juga usahanya, aamiin. Memang yg bikin deg2an di DJP adalah ketidakpastian waktu &amp; tempat mutasi, LDRan, dan ongkos tambahan yg harus ditanggung karena berjauhan dg kluarga. Saya 3,5 thn LDRan pas penempatan di Batam, alhamdulillah disupport full sama suami jadi bisa seminggu sekali pulang ke Jkt demi ketemu kluarga. Tapi ngga banyak temen2 DJP yg seberuntung saya 😰</t>
  </si>
  <si>
    <t xml:space="preserve">triekayu</t>
  </si>
  <si>
    <t xml:space="preserve">2025-10-15</t>
  </si>
  <si>
    <t xml:space="preserve">Utas kali ini aku mau share tentang perjalanan resign. Untuk para ibu bekerja khususnya PNS yang dalam fase galau ingin resign mungkin cerita ini bisa sedikit memberi insight. Aku ex PNS di DJP, dulu memilih resign dengan jalur cuti diluar tanggungan negara (CTLN) selama 3 tahun pada tahun 2020 dengan alasan ikut suami (kondisi kami LDR).</t>
  </si>
  <si>
    <t xml:space="preserve">2026-03-30</t>
  </si>
  <si>
    <t xml:space="preserve">Cerita dari pegawai kpp tempat kampus gw kerjasama (magang+tax center), banyak kok pegawai djp yang berminat pindah ke pemda…. Saking banyaknya, sampai sempat beberapa tahun kemarin kena moratorium, permohonan pindahnya ditolak semua….</t>
  </si>
  <si>
    <t xml:space="preserve">Seprtinya bagi mereka mutasi nasional rutin itu berat, apalagi kos+ongkos mudik ga ditanggung samsek+kalo ada pilihan jadi konsultan sepertinya logis milih resign/pindah pemda…</t>
  </si>
  <si>
    <t xml:space="preserve">ryangadiza</t>
  </si>
  <si>
    <t xml:space="preserve">2026-04-22</t>
  </si>
  <si>
    <t xml:space="preserve">Mutasi ribuan pegawai DJP, menurut kalian ini strategi perbaikan sistem atau cuma rotasi biasa?</t>
  </si>
  <si>
    <t xml:space="preserve">lian.ardi</t>
  </si>
  <si>
    <t xml:space="preserve">2026-05-18</t>
  </si>
  <si>
    <t xml:space="preserve">saya lebih percaya ada kucing diangkat jadi presiden dari pada percaya pegawai pajak 100% bersih</t>
  </si>
  <si>
    <t xml:space="preserve">Kalau kualitas, DJP itu diisi orang-orang brilian dan pinter, terlebih generasi mudanya.gue cuma bilang kalau kalian menghadapi masalah pajak dan kesal dengan itu, hate the game not the player terlebih untuk level pelaksana. mereka punya kemarahan dan kekesalan yang sama, bedanya mereka tidak bisa mengekspresikan itu seluas-luasnya. Ini juga sama untuk PNS instansi lainnya</t>
  </si>
  <si>
    <t xml:space="preserve">aspexsia</t>
  </si>
  <si>
    <t xml:space="preserve">2025-12-02</t>
  </si>
  <si>
    <t xml:space="preserve">itulah salah satu alasan saya resign dr DJP, di samping ada alasan lain yg jauh lebih fundamental..bos² carmuk sendiri? udah biasa... mereka cuci tangan? udah biasa juga..</t>
  </si>
  <si>
    <t xml:space="preserve">inirithma</t>
  </si>
  <si>
    <t xml:space="preserve">Yang paling gua gak terima adalah tentang pembahasan internal mereka yang gak mau mengakui bahwa coretax ini belum siap, malah menyatakan kalau penggunanya yang gak siap pakai. Jelas banget ini belum siap malah lempar batu ke pengguna which is rakyat yang bayar pajak.</t>
  </si>
  <si>
    <t xml:space="preserve">edwinhartono77</t>
  </si>
  <si>
    <t xml:space="preserve">2025-02-13</t>
  </si>
  <si>
    <t xml:space="preserve">Emang bener, personel KPP mengeluh dimana mereka menerima amarah, protes dll dari pembayar pajak tapi tidak bisa berbuat apa,. Semua dipegang kantor pusat dan tidak boleh protes.</t>
  </si>
  <si>
    <t xml:space="preserve">2025-11-02</t>
  </si>
  <si>
    <t xml:space="preserve">Mirisss Internal DJP Berkabung 🥹😵‍💫</t>
  </si>
  <si>
    <t xml:space="preserve">peaceanloovve</t>
  </si>
  <si>
    <t xml:space="preserve">2026-03-28</t>
  </si>
  <si>
    <t xml:space="preserve">Fyi aja nih bang 1. Tukin djp dari 2015 blm ada kenaikan 2. AR gaada yang lulusan dari sma karena minimal d3</t>
  </si>
  <si>
    <t xml:space="preserve">prastowoyustinus</t>
  </si>
  <si>
    <t xml:space="preserve">Beberapa hari ini rame diskusi soal STAN dan resign dari PNS. Saya juga alumnus STAN, pernah bekerja di birokrasi yaitu DJP, dan resign 2010. Kuliah di STAN memang bukan pilihan utama, tapi realistis untuk orang kampung seperti saya, saat sdh diterima di Fakultas Teknik UGM. Saya bersyukur dg semua yang saya jalani. Kesempatan kuliah yang luar biasa, mengabdi sebagai PNS yang memberi banyak ilmu kehidupan, hingga akhirnya memutuskan resign dan mengembangkan diri di ranah lain.</t>
  </si>
  <si>
    <t xml:space="preserve">salman__mahmudi</t>
  </si>
  <si>
    <t xml:space="preserve">2026-06-14</t>
  </si>
  <si>
    <t xml:space="preserve">Malam ini ngerenung sendiri, bersyukur banget bisa kerja di DJP instansi yg ga ada korupsinya babar blas. Top markotop. Yg resign berarti pengecut kecuali ada kepentingan lain ya. No offense.</t>
  </si>
  <si>
    <t xml:space="preserve">narulita.ardiyanti</t>
  </si>
  <si>
    <t xml:space="preserve">2026-06-15</t>
  </si>
  <si>
    <t xml:space="preserve">Saya resign dr 2019 dan saya bukan pengecut Sebaiknya lebih bijak saja. Kalau mu bersyukur ya bersyukur saja tidak usah ditambah hal2 yg tidak perlu</t>
  </si>
  <si>
    <t xml:space="preserve">1 hal yang pasti Yang pengecut adalah yang tau itu ga nyaman dan tetap berada disana. Saya resign dari DJP bukan karena pengecut. Ooh iya menambahkan, orang yang berani resign apalagi dari DJP itu udah pasti bukan hanya pegawai yang fokus pada 1 zona aja, dan dipastikan kalo yang resign itu ga ada beban finansial berupa cicilan sih minimal</t>
  </si>
  <si>
    <t xml:space="preserve">nadhirasyahrun</t>
  </si>
  <si>
    <t xml:space="preserve">2026-11-06</t>
  </si>
  <si>
    <t xml:space="preserve">Ada kalanya kerja jadi konsultan pajak sering bikin gw berpihak ke DJP di beberapa kasus. Contoh kasus: pemeriksa pajak minta penjelasan cara pembebanan biaya jasa intragrup ke WP pas audit. Disini pemeriksanya baik, komunikatif, dan sefrekuensi sama konsultan. Namun WP nya tipe yang reluctant, defensif, dan gak mau ditanya2, padahal datanya lengkap 📑 🤷🏻‍♀️.Moto hidupnya= “Pokoknya KPP harus paham dengan data yang seadanya”. Kasian tau temen2 DJP, udah target tinggi, harus paham bahasa kalbu pula</t>
  </si>
  <si>
    <t xml:space="preserve">rejhaanshary</t>
  </si>
  <si>
    <t xml:space="preserve">2025-03-07</t>
  </si>
  <si>
    <t xml:space="preserve">DJP tunangannya sudah paling gede, ga usah cengeng🤣.. instansi lain jg sama aja dgn tunjangan yg jauh lebih kecil</t>
  </si>
  <si>
    <t xml:space="preserve">bie0529</t>
  </si>
  <si>
    <t xml:space="preserve">Pegawai dpp itu impian bagi asn lain...pengasilan beda jauh...byngkn dg kementerian pusat lain juga byk yg pindah2😄</t>
  </si>
  <si>
    <t xml:space="preserve">titutayu</t>
  </si>
  <si>
    <t xml:space="preserve">Sebagai anak pensiunan DJP ini sangat relate kak, tiba2 pindah ke pulau di sulawesi yg dikelilingi lautan 🤣, 2 tahun kemudian pindah ke kota besar, eh lalu pindah Jakarta, tapi pas Sy udh kuliah akhirnya bapak ajah yg pindah ke daerah Dan pensiun baru balik Jakarta 😁. Harus siap mental emang keluarganya</t>
  </si>
  <si>
    <t xml:space="preserve">Sistem mutasi yang dianggap masih efektif untuk mencegah kolusi antara petugas dan wajib pajak. Blm ada solusi lain nampaknya. Kalo kita ngambil angle pegawai pajak, mutasi ini termasuk yang menyulitkan dalam perencanaan keluarga. Semoga kompensasi pindahannya mencukupi.</t>
  </si>
  <si>
    <t xml:space="preserve">yudi_armand</t>
  </si>
  <si>
    <t xml:space="preserve">2026-06-03</t>
  </si>
  <si>
    <t xml:space="preserve">Menjadi PNS DJP, pasti sudah siap dgn segala konsekuensi sejak awal, layaknya TNI, Polri, ATR BPN dll. Mentalnya pasti kuat2 utk bs hidup jauh dari homebase, berpindah2 dan ga ada kata settle. Kuat2 sodara2 ku semua yg memilih jalan ini, ga semua org mampu.</t>
  </si>
  <si>
    <t xml:space="preserve">Saya lebih percaya ada kucing diangkat jadi presiden daripada percaya pegawai pajak 100% bersih.</t>
  </si>
  <si>
    <t xml:space="preserve">ro.sadi</t>
  </si>
  <si>
    <t xml:space="preserve">2026-07-29</t>
  </si>
  <si>
    <t xml:space="preserve">Satpam: 3jt, 3jt, 3jt; Manajer: 15jt, 15jt, 20jt, 25jt, 30jt; Content Creator: 0, 5jt, 0, 50jt; Pegawai Pajak: 10jt, 10jt, 500jt, 1M, ketangkep.</t>
  </si>
  <si>
    <t xml:space="preserve">2026-07-31</t>
  </si>
  <si>
    <t xml:space="preserve">Saya pegawai pajak dan merasa utas ini keliru. Hampir semua pegawai pajak bersih, bahkan ada yang tidak bisa kurban karena tidak punya uang.</t>
  </si>
  <si>
    <t xml:space="preserve">Cerita teman yang bekerja di KPP Pratama dan sering melihat wajib pajak kaget, bingung, dan marah saat mengurus pajak balik nama warisan.</t>
  </si>
  <si>
    <t xml:space="preserve">kaaleno</t>
  </si>
  <si>
    <t xml:space="preserve">2026-05-19</t>
  </si>
  <si>
    <t xml:space="preserve">Mutasi bank orang pribadi memang boleh diintip DJP?</t>
  </si>
  <si>
    <t xml:space="preserve">Menurut Anda, data apa yang paling sering memicu SP2DK dari DJP?</t>
  </si>
  <si>
    <t xml:space="preserve">2026-05-11</t>
  </si>
  <si>
    <t xml:space="preserve">Rame thread DJP resign berjamaah. Apakah ada mantan pegawai DJP yang menyesal resign atau justru merasa keputusan tersebut tepat?</t>
  </si>
  <si>
    <t xml:space="preserve">rizkiagung888</t>
  </si>
  <si>
    <t xml:space="preserve">Banyak seller marketplace mengaku omzet miliaran tetapi belum pernah melapor pajak. Menyoroti kesiapan menghadapi keterbukaan data omzet.</t>
  </si>
  <si>
    <t xml:space="preserve">iam.bnafis</t>
  </si>
  <si>
    <t xml:space="preserve">2026-02-14</t>
  </si>
  <si>
    <t xml:space="preserve">Instansi CPNS dengan tukin tertinggi: Pemprov DKI, DJP, Kemenkeu, BPKP, BPK, Mahkamah Agung.</t>
  </si>
  <si>
    <t xml:space="preserve">Cerita suami yang mengundurkan diri dari DJP setelah 14 tahun bekerja dan perjalanan hidup setelah resign.</t>
  </si>
  <si>
    <t xml:space="preserve">dehankrzl</t>
  </si>
  <si>
    <t xml:space="preserve">DJP itu di bawah Kemenkeu bukan? Atau memang tukinnya berbeda sendiri dibanding direktorat lain di Kemenkeu?</t>
  </si>
  <si>
    <t xml:space="preserve">Cerita tentang suami yang mengundurkan diri dari DJP setelah 14 tahun bekerja dan kondisi kehidupan setelah resign.</t>
  </si>
  <si>
    <t xml:space="preserve">Mana yang paling sering jadi temuan DJP: biaya entertainment, biaya tanpa bukti, atau natura? Share pengalaman Anda.</t>
  </si>
  <si>
    <t xml:space="preserve">Per 1 Agustus 2026 PPh 22 marketplace berlaku. Omzet toko akan lebih mudah diketahui DJP dan menyoroti cara pemeriksa pajak bekerja.</t>
  </si>
  <si>
    <t xml:space="preserve">risxrs</t>
  </si>
  <si>
    <t xml:space="preserve">Menanyakan apakah terdapat Direct API resmi DJP untuk integrasi sistem Core Tax dengan ERP perusahaan.</t>
  </si>
  <si>
    <t xml:space="preserve">Membahas perspektif internal DJP terkait trigger SP2DK dan proses analisis wajib pajak berdasarkan pengalaman mantan pegawai DJP.</t>
  </si>
  <si>
    <t xml:space="preserve">legalist.hub</t>
  </si>
  <si>
    <t xml:space="preserve">Memberikan langkah konkret terkait isu pemotongan pajak marketplace per 1 Agustus.</t>
  </si>
  <si>
    <t xml:space="preserve">muhamadfajri1997</t>
  </si>
  <si>
    <t xml:space="preserve">2026-07-17</t>
  </si>
  <si>
    <t xml:space="preserve">Menanyakan kebenaran isu DJP mengecek omzet tahun 2025 dan dampaknya terhadap batas omzet.</t>
  </si>
  <si>
    <t xml:space="preserve">nadiwahari</t>
  </si>
  <si>
    <t xml:space="preserve">2026-07-26</t>
  </si>
  <si>
    <t xml:space="preserve">Menanyakan alasan masih menerima email dari DJP meskipun sudah melaporkan SPT dengan hasil nihil.</t>
  </si>
  <si>
    <t xml:space="preserve">2025-11-08</t>
  </si>
  <si>
    <t xml:space="preserve">Membahas dasar resmi DJP menerbitkan SP2DK dan meminta pendapat apakah SP2DK merupakan pengawasan wajar atau membuat wajib pajak takut.</t>
  </si>
  <si>
    <t xml:space="preserve">Strategypajak.id</t>
  </si>
  <si>
    <t xml:space="preserve">2026-05-13</t>
  </si>
  <si>
    <t xml:space="preserve">Menjelaskan sistem CRM DJP yang menilai risiko wajib pajak dan faktor-faktor yang meningkatkan risk score.</t>
  </si>
  <si>
    <t xml:space="preserve">acinomxks</t>
  </si>
  <si>
    <t xml:space="preserve">Berbagi pengalaman pelayanan di KPP terkait penggunaan surat kuasa dan verifikasi identitas direktur.</t>
  </si>
  <si>
    <t xml:space="preserve">Menjelaskan bahwa persyaratan administrasi bertujuan menjaga keamanan data wajib pajak meskipun mengurangi kepraktisan.</t>
  </si>
  <si>
    <t xml:space="preserve">beka.moya</t>
  </si>
  <si>
    <t xml:space="preserve">Dari ex-DJP untuk wajib pajak: "Laporlah sebelum data yang melaporkan."</t>
  </si>
  <si>
    <t xml:space="preserve">ngertitentangpajak</t>
  </si>
  <si>
    <t xml:space="preserve">2026-07-10</t>
  </si>
  <si>
    <t xml:space="preserve">Mengajak wajib pajak yang menerima SP2DK untuk berbagi pengalaman dan menawarkan bantuan.</t>
  </si>
  <si>
    <t xml:space="preserve">elshaaudityaa</t>
  </si>
  <si>
    <t xml:space="preserve">2026-05-08</t>
  </si>
  <si>
    <t xml:space="preserve">Pajak Marketplace PPh 22 0,5% RESMI DITUNDA GUYS!!!!
Belum jalan seminggu peraturan dah dicancel… dah terlanjur bikin repot dan bikin cemas seantero negeri.
Beginilah kalau kebijakan tidak dikaji, tidak didiskusikan, tidak dipelajari dengan baik, akhirnya satu Indonesia raya yang kena 🤦🏼‍♀️🤦🏼‍♀️
Pertanyaannya , lalu pajak yang udh terlanjur dipotong 1-5 Agustus gimana? 🫠🫠🫠
Masih didiskusikan</t>
  </si>
  <si>
    <t xml:space="preserve">mitahandra</t>
  </si>
  <si>
    <t xml:space="preserve">Mulai skrg sblm bayar pajak berdoa dulu guys “aku haramkan uang pajakku untuk para pejabat korupsi sampai ke anak cucunya. Dan miskinkan harta mereka yg memakan uang pajakku. Amiin”</t>
  </si>
  <si>
    <t xml:space="preserve">aguyyugaaguy</t>
  </si>
  <si>
    <t xml:space="preserve">2026-03-16</t>
  </si>
  <si>
    <t xml:space="preserve">To the point aja ya warga thread,
Saya penyuluh pajak di salah satu KPP Jakarta.
Feel Free dan For Free alias GRATIS.
Bagi yg masih bingung masalah per-coretax-an, termasuk cara Lapor SPT, boleh tanya-tanya di komen atau welcome DM jg kalau merasa perlu sharing data privasi.
“Pajak ini sudah jadi beban bagi banyak orang, jangan sampai ongkos kepatuhannya juga membebani orang banyak lagi”
Disclaimer: Hanya inisiatif pribadi, ga mau kalah semangat dgn teman2 yg nawarin jasa berbayar. 🙂</t>
  </si>
  <si>
    <t xml:space="preserve">ernandaputra</t>
  </si>
  <si>
    <t xml:space="preserve">2026-03-13</t>
  </si>
  <si>
    <t xml:space="preserve">Bentar..bentar.. Kalo dipikir logikanya, kita yang kerja, kita yang bayar pajak. Trus kita juga yang harus ribet ngelaporin. Harusnya pemerintah ga sih yg laporan ke kita, pajak yang uda kita sumbang itu dipake buat apa aja? secara rinci &amp; jelas. Setiap tahun.</t>
  </si>
  <si>
    <t xml:space="preserve">ardha.pengendali.pajak</t>
  </si>
  <si>
    <t xml:space="preserve">pajak marketplace ditunda, Malah jadi lebih rumit.
Kenapa?
Karena udh pada terlanjur setting semua di balik layar. Npwp, Nik. Jadi ud pada konek jg datanya. Dan kalo ditunda berarti cape lagi lu pada itung pph umkm 0.5% nya sendiri. Bedanya kmrn dipotongin sama platform, abis ini ya itung sama setor sndiri. Yg ga nyetor nanti kena sp2dk. Kan ud pada konek semua.
Duh kasian nih yg kmrn ud konsul... Jd bingung lg kan.. Mana ga diajarin cara nya setor pph final umkm 0.5% mandiri pula</t>
  </si>
  <si>
    <t xml:space="preserve">zehanrusydah</t>
  </si>
  <si>
    <t xml:space="preserve">2026-08-07</t>
  </si>
  <si>
    <t xml:space="preserve">eh btw 82% pendapatan negara berasal dari pajak rakyat. jd kalo rakyat ngkritik kebijakan itu bukan kurang ajar. Itu wajar.
thank u</t>
  </si>
  <si>
    <t xml:space="preserve">monicsiman</t>
  </si>
  <si>
    <t xml:space="preserve">2026-01-06</t>
  </si>
  <si>
    <t xml:space="preserve">Percayalah setelah kalian punya PT sendiri baru tau betapa kejam nya pemerintah narikin pajak kita 🥹🥹
Bener bener semua harus di pajakin 😭😭</t>
  </si>
  <si>
    <t xml:space="preserve">reeaaaaaaaaaana</t>
  </si>
  <si>
    <t xml:space="preserve">Ijin bertanya suhu 🙏🏻
Kami ada sp2dk pembahasan di PPh pasal 21 nya..
Ada bupot tenaga ahli dengan dpp 50% x 5% tiap bulan.
Emang adaa di akhir tahun/ bulan Desember dihitung ulang totalnya penerimaan dengan dpp 50% x sesuai tarif progresif pasal 17?
Case nya tahun 2023 yaa,
Sangat butuh pencerahaaaann 🥹🙏🏻</t>
  </si>
  <si>
    <t xml:space="preserve">nanamirdad_</t>
  </si>
  <si>
    <t xml:space="preserve">2026-07-23</t>
  </si>
  <si>
    <t xml:space="preserve">Bayar pajak itu gpp.. Bener deh.. Negara2 lain juga bayar pajak, bahkan banyak yang lebih tinggi.
Tapi nyesek adalah ketika kita ditekan sebegininya ( sampe ada tukang bakso rencana diminta 6 juta sebulan untuk bayar pajak 🥹 ) TETAPI yang kita dapet ngga sebanding dengan di negara2 maju lainnya dengan tarif pajak yang kurang lebih sama. Bahkan bukan hanya ngga sebanding, betul2 nyaris ngga ada public service and infrastructure yang layak dengan APBN yang diterima.
Harus gimana sih sebetulnya 😔</t>
  </si>
  <si>
    <t xml:space="preserve">putriiaulia</t>
  </si>
  <si>
    <t xml:space="preserve">Jujur gue kasian tp ga kaget sih UMKM pd dikejar2in pajak sampe kerumahnya, td lewat tukang bakso aja disuruh bayar pajak 6jt/month, gilakk.
Tp ya udh sesuai emg sama visi misi prabowo, kan dulu pas kampanye di visimisinya ditulis bakal narikin pajak UMKM dan NAIKIN GAJI PEJABAT😂😂🔫 yg ogeb yg milih.</t>
  </si>
  <si>
    <t xml:space="preserve">septyratusalon</t>
  </si>
  <si>
    <t xml:space="preserve">Baru 5 hari berjalan, kebijakan pajak toko online malah ditunda. Perencanaannya ke mana? Jangan bikin aturan tergesa-gesa kalau akhirnya malah ditarik lagi. Yang bingung dan dirugikan justru masyarakat dan pelaku usaha!😤</t>
  </si>
  <si>
    <t xml:space="preserve">pakcandraaa</t>
  </si>
  <si>
    <t xml:space="preserve">2026-05-02</t>
  </si>
  <si>
    <t xml:space="preserve">Kita yg bayar pajak, kita yg lapor.
Kita gak lapor, kena denda.
LAH? YG MAKE PAJAK KENYANG-KENYANG AJA</t>
  </si>
  <si>
    <t xml:space="preserve">king.syah</t>
  </si>
  <si>
    <t xml:space="preserve">2026-02-07</t>
  </si>
  <si>
    <t xml:space="preserve">Negara udah bingung cari penghasilan, sampe Strava yang biasa kita pakai untuk lari pun kena pajak 11%</t>
  </si>
  <si>
    <t xml:space="preserve">ilmuumkm.id</t>
  </si>
  <si>
    <t xml:space="preserve">oodnews, pajak ecommerce resmi dibatalkan setelah berjalan nyaris 5 hari</t>
  </si>
  <si>
    <t xml:space="preserve">gerryprayudi</t>
  </si>
  <si>
    <t xml:space="preserve">2026-02-13</t>
  </si>
  <si>
    <t xml:space="preserve">Saya warga Solo, hari ini mau bayar pajak mobil, kaget karena naik 200 ribu dari tahun lalu. 2024 bayar 3,6 juta, 2025 naik jadi 4,2 juta. Tahun ini 2026 naik lagi jadi 4,4 juta. Padahal tiap tahun nilai mobilnya selalu turun, kenapa pajaknya malah selalu naik yaa? 🥲</t>
  </si>
  <si>
    <t xml:space="preserve">ddilady</t>
  </si>
  <si>
    <t xml:space="preserve">serius nanya. aku abis dikasih tau petugas pajak kalo mending wajib pajak nya di non aktifkan aja (soalnya cuma buat aff). biar gausah repot lapor tiap tahun. nah mau tanya kalo di non aktifkan gitu, misal ada komisi masuk dari aff sopi, apa komisinya bisa tetep masuk?🤔</t>
  </si>
  <si>
    <t xml:space="preserve">putirmaput</t>
  </si>
  <si>
    <t xml:space="preserve">Dasar gak tau diri! Tidak seharusnya kendaraan plat merah yang notabene dibeli dengan uang pajak rakyat diubah ke plat pribadi dan digunakan untuk kepentingan pribadi diluar dinas
@wonosobozone
@icw_net
@satlantaspolreswonosobo
@inspektorat_jtg
 @inspektoratwonosobo</t>
  </si>
  <si>
    <t xml:space="preserve">niarwitya</t>
  </si>
  <si>
    <t xml:space="preserve">Rasanya pemerentah skrg klo bikin kebijakan pajak grusa grusu ya, ttg coretax, pmk ppn dtp, trs ini peraturan pajak marketplace. Perasaan dulu waktu ppn naik 1 persen ga se grusa grusu ini deh. Ada sosialisasinya dulu, pmk dikeluarin ya udh itu ga direvisi atau gajadi kek gini....</t>
  </si>
  <si>
    <t xml:space="preserve">nableu_</t>
  </si>
  <si>
    <t xml:space="preserve">Bayangin lo ngga bayar pajak karena lupa tanggal nya, tiba2 rumah lo didatengin TNI atau Polri. Deym keren banget berasa kriminal kelas kakap</t>
  </si>
  <si>
    <t xml:space="preserve">sasmi.andriyani</t>
  </si>
  <si>
    <t xml:space="preserve">apa ya kelebihannya jadi prioritas di kantor pajak?</t>
  </si>
  <si>
    <t xml:space="preserve">sandysukmana_</t>
  </si>
  <si>
    <t xml:space="preserve">2026-06-07</t>
  </si>
  <si>
    <t xml:space="preserve">ada negara yang nagihin pajak rakyatnya sampai petugasnya turun ke jalan. tapi gamau dengerin aspirasi rakyatnya yang turun ke jalan</t>
  </si>
  <si>
    <t xml:space="preserve">dcrisniaty</t>
  </si>
  <si>
    <t xml:space="preserve">dear staff pajak yg ngerjain fp , kasih aku paham dong kalo uang muka penjualan tuh di nama barangnya harus pake kata UANG MUKA ga? contoh UANG MUKA PVC 13x03 atau cukup dengan PVC 13x03 aja ? soalnya first time pake Faktur Pajak Uang Muka
thx u 🫶🏻</t>
  </si>
  <si>
    <t xml:space="preserve">nrmaulidia</t>
  </si>
  <si>
    <t xml:space="preserve">Dear Mahasiswa Accounting
Kalau belum jago jurnal, ada matkul pajak materinya perhitungannya aja. Jangan lupa belajar jurnalnya juga yak. Di dunia kerja belum tentu kamu punya leader yg membimbing dan atau temen di divisi accounting aliasnya sendiri aja. Sebagai FG biar gak gila. Apalagi perusahannya mau transisi dari manual ke sistem🔥🧨</t>
  </si>
  <si>
    <t xml:space="preserve">nioald</t>
  </si>
  <si>
    <t xml:space="preserve">Lagi rame berita Kanwil DJP Jaksel baru aja blokir rekening bank milik 57 wajib pajak. Total saldo yang ketahan di bank nggak main main, tembus 80 miliar rupiah. Banyak pengusaha yang kaget kok bisa kantor pajak main blokir rekening nasabah gitu aja. Emang boleh dan sah secara hukum buat bekukan duit orang?</t>
  </si>
  <si>
    <t xml:space="preserve">alfian.saka</t>
  </si>
  <si>
    <t xml:space="preserve">2026-07-24</t>
  </si>
  <si>
    <t xml:space="preserve">Jujur sejak awal mendirikan usaha tahun 2015, saya ga pernah ada niatan tidak bayar pajak. Buka usaha ingin fokus berkembang dan lancar. Menggaji finance juga salah satunya untuk perpajakan, awal mungkin masih OK ada SP2DK masih belajar. Tapi ternyata setelah mengalami bayar denda (seperti di perlakukan maling) muncul persepsi, selama ini kita rapih kok masih di cari-cari kesalahan? Kalau gitu ga perlu rapi rapi amat 🥲 belum lagi duit pajak yang terlihat di hambur-hamburkan, trust issue.</t>
  </si>
  <si>
    <t xml:space="preserve">segantarii</t>
  </si>
  <si>
    <t xml:space="preserve">2026-06-08</t>
  </si>
  <si>
    <t xml:space="preserve">Ebusetttt ampe gaji dari pajak pun di atur mau dipake buat apa, kebiasaan beli buku juga keknya bakal di julit ni , btw gua ga nyangka bro gua (seorang PeeNeS) juga seorang penulis 
@sepiahara_
 , gua baca dulu ya bang 🤣🤣🤣</t>
  </si>
  <si>
    <t xml:space="preserve">maiaestiantyreal</t>
  </si>
  <si>
    <t xml:space="preserve">Aturan pajak seller online 0,5% ditunda, busyeeettt, ibarat orang, ini aturan kayak manusia plin plan ya??? Kayak gak di plan gitu loh… pantesan banyak investor pindah ke negara lain, lah wong aturan nya aja berubah-ubah mulu … piye Jal ???</t>
  </si>
  <si>
    <t xml:space="preserve">shintawkk95</t>
  </si>
  <si>
    <t xml:space="preserve">As a tax consultant, gue kasihan sih sama DJP. 🤣
Yang korup kebanyakan justru dari instansi yang tugasnya spending money (walaupun di DJP juga ada, nggak munafik). Tapi tiap ada isu korupsi, yang kena semprot duluan tetap DJP. Seolah-olah semua dosa negara numpuknya di sana. Yang ngabisin anggaran siapa, yang dimarahin siapa. 🤣</t>
  </si>
  <si>
    <t xml:space="preserve">Ada kalanya kerja jadi konsultan pajak sering bikin gw berpihak ke DJP di beberapa kasus. Contoh kasus: pemeriksa pajak minta penjelasan cara pembebanan biaya jasa intragrup ke WP pas audit. Disini pemeriksanya baik, komunikatif, dan sefrekuensi sama konsultan. Namun WP nya tipe yang reluctant, defensif, dan gak mau ditanya2, padahal datanya lengkap 📑 🤷🏻‍♀️.Moto hidupnya= “Pokoknya KPP harus paham dengan data yang seadanya”. Kasian tau temen2 DJP, udah target tinggi, harus paham bahasa kalbu pula 😂</t>
  </si>
  <si>
    <t xml:space="preserve">Gaji pegawai DJP itu gak setinggi yg kt bayangin, termasuk tinggi memang dibanding banyak instansi yang lain, tapi gak sampai buat diri lu jadi auto sultan dsb
untuk level staff, gaji mereka dibawah PNS pemda DKI, dibawah BI, dibawah OJK, dan masih kalah dengan banyak gaji staf di berbagai BUMN
Resiko yg mereka hadapi gak ringan, keselamatan terancam, beberapa meninggal dalam tugas, dianggap ancaman oleh masyarakat, belum lagi sistem mutasi seluruh indonesia</t>
  </si>
  <si>
    <t xml:space="preserve">c_zhepank</t>
  </si>
  <si>
    <t xml:space="preserve">Minimal SMI ga butuh like,komen, share dari 50rb pegawai yang dihina-hinakan itu.</t>
  </si>
  <si>
    <t xml:space="preserve">rezaekaptr</t>
  </si>
  <si>
    <t xml:space="preserve">2026-07-14</t>
  </si>
  <si>
    <t xml:space="preserve">orang-orang DJP lagi pada pusing gasihh??
soalnya aku aja yang pegawai swasta &amp; kebetulan kerjanya berhubungan sama pajak udah pusing liat berita akhir-akhir ini tentang perpajakan 🙂🙂</t>
  </si>
  <si>
    <t xml:space="preserve">Menurutku DJP logikanya harus dipakai deh, kemarin aku ke kantor pajak sebagai karyawan pakai surat kuasa, segala data yang sudah disiapkan, fotocopy KTP, NPWP dan segala printilan identitas direktur
Lalu sampai loket KPP terjadi percakapan
🐒 : ini semua data siapa ?
😪 : data direktur bu, sesuai dengan nama yang tercantum pada akta
🐒 : ngapain direkturnya kog gk datang kesini sendiri ?</t>
  </si>
  <si>
    <t xml:space="preserve">virly.wd</t>
  </si>
  <si>
    <t xml:space="preserve">KPP sekarang lagi galak2 ya, baru aja cair atas LB SPT 2024 eh udah dapet SP2DK atas 2 tahun dan lampirannya banyak banget udah kaya lagi diperiksa 🥲🥲
Ya tuhan mana minta ekualisasi, rincian dan bukti semua ledger 😭</t>
  </si>
  <si>
    <t xml:space="preserve">irilrahmanr</t>
  </si>
  <si>
    <t xml:space="preserve">2026-03-08</t>
  </si>
  <si>
    <t xml:space="preserve">Gue tau banyak yang gasuka pajak, personal opinion aja ini. Gue uda kerja dan bayar pajak di australia, malaysia, dan indonesia.
Coretax itu yang paling praktis wkwk</t>
  </si>
  <si>
    <t xml:space="preserve">idealisme_hati</t>
  </si>
  <si>
    <t xml:space="preserve">So in Indonesia, if you're poor, the police will make sure you pay your taxes. But if you're a billionaire, you could receive tax holidays for up to 50 years.
Welcome FASCISM!</t>
  </si>
  <si>
    <t xml:space="preserve">genuinephoenix8420</t>
  </si>
  <si>
    <t xml:space="preserve">Dear 
@kemenkeuri
 &amp; 
@ditjenpajakri
 , bisa kah PPn diturunkan ke 6% dan seluruh penjual makanan di jalanan, di warteg, restaurant, catering, IG diminta narik PPN? Biar adil kita usahanya. Sama2 usaha, masa aku bayar PPN, mereka ga bayar. Dan kurangi lah PPN, biar ga berat buat pelanggan.</t>
  </si>
  <si>
    <t xml:space="preserve">tebbythebunny</t>
  </si>
  <si>
    <t xml:space="preserve">Terkutuk lah kalian para pegawai pajak, semoga hidupmu tidak bahagia dunia akhirat!</t>
  </si>
  <si>
    <t xml:space="preserve">shafaarghina</t>
  </si>
  <si>
    <t xml:space="preserve">2026-06-19</t>
  </si>
  <si>
    <t xml:space="preserve">DEMI ALLAH DEMI RASULULLAH GUE GAK IKHLAS PENCAIRAN JHT KENA PAJAK. JAHAT BANGET YA ALLAH. GUEEEE GAK IKHLASSSSSSSS😭😭😭😭😭😭😭😭😭😭😭😭😭😭</t>
  </si>
  <si>
    <t xml:space="preserve">yunawatiwiady</t>
  </si>
  <si>
    <t xml:space="preserve">2026-04-23</t>
  </si>
  <si>
    <t xml:space="preserve">Hidup lagi capek2nya nyari uang, Kaget tiba2 kedatangan orang dari kantor pajak, disuruh bayar segini😭😭
10thun lebih menjual baru dapat kek gini, Tahunnya 2024 kenapa ditagihnya baru sekarang🤔😩</t>
  </si>
  <si>
    <t xml:space="preserve">akartaxservices</t>
  </si>
  <si>
    <t xml:space="preserve">DAPET SP2DK LAGI UNTUK WP ORANG PRIBADI TAHUN PAJAK 2023!!
Menurut Fiskus, terdapat indikasi Penghasilan Wajib Pajak yang belum dilaporkan berdasarkan perhitungan analisis Fiskus.
Dari lampiran perhitungan analisis fiskus, diketahui bahwa total penghasilan yang belum dilaporkan adalah 5,4 Milyar !
Case nya menarik untuk kita bahas, Jika kalian dapat perhitungan penghasilan yang belum dilaporkan menurut Fiskus, apa yang kalian lakukan?
Kalau kami, begini proses menanggapinya:</t>
  </si>
  <si>
    <t xml:space="preserve">2026-01-08</t>
  </si>
  <si>
    <t xml:space="preserve">Perspektif Internal DJP: Trigger Undangan bagi Wajib Pajak Orang Pribadi
Tahun lalu, tim kami sempat berdiskusi santai dengan salah satu mantan pegawai DJP. Banyak cerita yang kami dapatkan dari perspektif internal, salah satunya adalah trigger dasar mereka untuk mengundang Wajib Pajak melalui SP2DK, Helicopter View yang menjadi dasar analisis dari suatu grup perusahaan atau perusahaan afiliasi, dan masih banyak lagi.</t>
  </si>
  <si>
    <t xml:space="preserve">2026-04-02</t>
  </si>
  <si>
    <t xml:space="preserve">Gue DIPECAT IKPI gara gara urusan merekam oknum pajak di KPP, sekarang IKPI terbitkan berita sidang gue di MK yang mempersoalkan Larangan Merekam di KPP 😂🤣</t>
  </si>
  <si>
    <t xml:space="preserve">navigatax</t>
  </si>
  <si>
    <t xml:space="preserve">2026-07-01</t>
  </si>
  <si>
    <t xml:space="preserve">Halo threads... perkenalkan saya seorang konsultan pajak, lulusan dari STAN, ex pegawai DJP selama 12 tahun, total sudah 15 tahun ngurusin pajak.
Saat ini saya membuka jasa konsultasi perpajakan, termasuk pelaporan SPT Tahunan dan juga pembuatan Laporan Keuangan. Untuk harga masih negotiable... Jika ada yang tertarik menggunakan jasa saya, bisa langsung DM aja ya...</t>
  </si>
  <si>
    <t xml:space="preserve">2026-11-07</t>
  </si>
  <si>
    <t xml:space="preserve">Banyak pegawai bagian pajak yang ngambek dan ngomel2 dengan keluarnya PMK 44, karena ada pasal yg menyebutkan bahwa non konsultan tapi punya brevet atau lulusan D3 pajak negeri/swasta dengan akreditasi A hanya bisa jadi Kuasa WP sampai dengan 31 Desember 2026.
Mereka merasa sia2 ambil kursus brevet atau kuliah di pajak karena hanya bisa dipakai sampai akhir tahun saja dan berikutnya perusahaan harus pakai konsultan sehingga kompetensi mereka tidak lagi bisa dipakai sebagai Kuasa Perusahaan.</t>
  </si>
  <si>
    <t xml:space="preserve">juun_ajun</t>
  </si>
  <si>
    <t xml:space="preserve">2026-10-06</t>
  </si>
  <si>
    <t xml:space="preserve">Penasaran banget, itu orang2 yang kerja di PAJAK pada bisa tidur tenang ga sih?</t>
  </si>
  <si>
    <t xml:space="preserve">kensugijanto</t>
  </si>
  <si>
    <t xml:space="preserve">Pemerintah yaampun cari2 terus ya
buat dapet uang pajak..
Sampe orang pajak nya aja stress curhat ke kita dikejar deadline sehari harus ke minimal 7 tempat baru untuk cari mangsa, sedangkan uang setoran pajak nya sampe atas menguap
Iya itu mereka yang bilang..
"SAMPE ATAS NGUAP</t>
  </si>
  <si>
    <t xml:space="preserve">mister_ikhsan</t>
  </si>
  <si>
    <t xml:space="preserve">2026-06-20</t>
  </si>
  <si>
    <t xml:space="preserve">BPJS-JHT Kena Pajak -
Hari ini banyak banget threads muncul bahas ini, padahal peraturan itu dah lama, bukan kebijakan baru
dan yg bikin penasaran
Kalian habis resign ? Barengan banget??
Uang JHT kalian diatas 50 juta?</t>
  </si>
  <si>
    <t xml:space="preserve">yuniverselifee</t>
  </si>
  <si>
    <t xml:space="preserve">Kenapa orang selalu mempermasalahkan PNS dibayar dari “pajak”? Kan orang kerja emng harus digaji 😭😭
Gak sekalian tuh dibilang penghasilan kang cilok dari uang kita, penghasilan pegawai indomi juga dari uang kita, semuanya deh pokoknya dari uang kita 😭</t>
  </si>
  <si>
    <t xml:space="preserve">agylfirmansyah</t>
  </si>
  <si>
    <t xml:space="preserve">2026-04-06</t>
  </si>
  <si>
    <t xml:space="preserve">gaes, ada ga si oknum konsultan pajak, yg seolah" membantu klien wajib pajak, tapi dibelakang klien juga bantu AR pajak nya untuk dapat setoran lebih banyak, main 2 kaki istilahnya 🥲</t>
  </si>
  <si>
    <t xml:space="preserve">ahmadmuhlis_</t>
  </si>
  <si>
    <t xml:space="preserve">2026-07-21</t>
  </si>
  <si>
    <t xml:space="preserve">Ngeri.. skg yang ga bayar pajak bakal di datangi kerumah selain petugas pajak.. juga ada babinsa dari TNI dan Polri .. ini gmn gaes.. kok mirip Orba.. katanya klo suatu negara sudah memajaki segala macam sampai dipaksa.. pertanda negara itu dalam ancaman bangkrut alias mau kolaps..</t>
  </si>
  <si>
    <t xml:space="preserve">Kemarin diskusi sama karyawan DJP, saya bilang PPh 25 kan cicilan yg dibayar dimuka oleh WP Dan blm merupakan kewajiban yg harus dibayar ttp knp klo WP telat atau tidak bayar pada setiap bulanya dikenakan Sanksi, Dan hrsnya itu pilihan bukan jadi kewajiban krn bisa dibayar akhir Tahun saat perhitungan SPT??? Dia jawab iya pak tapi klo semua WP bayar di akhir Tahun Gajian kami para ASN setiap bulan Dari mana pak????😂😂😂digaji rakyat</t>
  </si>
  <si>
    <t xml:space="preserve">awaluddinrizal</t>
  </si>
  <si>
    <t xml:space="preserve">Dear Dirjen Pajak :
Kita gak pernah nolak buat bayar pajak, tapi nampaknya anda ada gilanya melibatkan Babinsa TNI Polri untuk pengawasan kepatuhan pajak</t>
  </si>
  <si>
    <t xml:space="preserve">Lulus STAN Tahun 2018, penempatan Kemenkeu, penempatan homebase dari 2019-sekarang, seru-seru aja. Bangun pagi bisa santai sempat olahraga, masuk-pulang tenggo, bisa sambil kuliah, no complaints sih sampai detik ini. Makasih STAN 🫶</t>
  </si>
  <si>
    <t xml:space="preserve">Alumni STAN yang resign dari DJP itu banyak sekali. Jadi, resign dari DJP sebenarnya sudah menjadi hal yang sangat wajar, bukan sesuatu yang aneh lagi.
Dari lingkungan saya saja sudah ada cukup banyak contohnya.
Proses resign saya sendiri diperlancar karena ada rekomendasi dari teman sesama eks DJP yang kini menjadi Konsultan Pajak. Kebetulan salah satu kliennya sedang membutuhkan Tax Manager. Akhirnya saya resign dan bergabung sebagai Tax Manager di perusahaan tersebut.</t>
  </si>
  <si>
    <t xml:space="preserve">annasiska_rgg</t>
  </si>
  <si>
    <t xml:space="preserve">2026-05-29</t>
  </si>
  <si>
    <t xml:space="preserve">Hari ini kantor disamperin tim Kepatuhan DJP. Bukan mau meriksa, tapi mau memastikan kalau proses pencairan Lebih Bayar (Restitusi) atas pemeriksaan 2024 kemarin berjalan 100% bersih tanpa ada oknum yang minta uang/pungli.
Senang banget melihat langsung reformasi integritas DJP di lapangan. Bisnis tenang kalau ekosistemnya bersih. Kudos, DJP! 👏💼 #BanggaBayarPajak #Integritas</t>
  </si>
  <si>
    <t xml:space="preserve">Punya sepupu ASN di Kementerian eselon yang katanya THP paling tinggi se Indonesia. Usia 34thn udah Kepala Seksi, sering dapat penghargaan (gak pernah di post di sosmed taunya dari tante yg post di group wa keluarga 🤭), istrinya dokter spesialis minor, praktek 3 hari aja/minggu sisanya ngurus anak2. Mobil sepupuku keluaran thn 90an beli bekas, kacanya masih diputar. Mobil istrinya city car beli bekas juga. Istrinya gak pernah pake tas branded pakenya tas UMKM.</t>
  </si>
  <si>
    <t xml:space="preserve">priyantarno</t>
  </si>
  <si>
    <t xml:space="preserve">2026-07-13</t>
  </si>
  <si>
    <t xml:space="preserve">Kemenkeu memulai hal yg baru, melarang ex DJP menjadi kuasa wajib pajak 5 tahun setelah berhenti
Nah bagus nih dicontoh sama negara, presiden dan wakil presiden yg menjabat dua priode ketika berhenti, maka selama 5 tahun setelah berhenti dia dan keluarganya TDK boleh aktif dalam politik, alasannya yg kayak DJP , bahaya bisa mempengaruhi kebijakan
Tp pasti akan ditolak Krn semua orang sama di mata hukum dan memiliki hak yg sama
Wkwkwk</t>
  </si>
  <si>
    <t xml:space="preserve">ikidatsu</t>
  </si>
  <si>
    <t xml:space="preserve">nyesek banget mau berangkat kantor. males ketemu si cewe toxic mental pembully itu. mana gue cengeng lagi anaknya. btw si cewe ini kelahiran 2000, ga ada adabnya sama yg baru kenal. tai lah djp ini, kebanyakan isinya orang yg sifatnya toxic. kebanyakan isinya pasien spkj. stress semua stress</t>
  </si>
  <si>
    <t xml:space="preserve">brotov</t>
  </si>
  <si>
    <t xml:space="preserve">Infonya gara2 pernah mengancam akan membubarkan institusi dibawah lingkungan Kemenkeu, beliau diberi panggilan baru PURBACOT! oleh pegawai di institusi tersebut
BENARKAH?😲
*Onokonokbae
😁😁</t>
  </si>
  <si>
    <t xml:space="preserve">jshdnl</t>
  </si>
  <si>
    <t xml:space="preserve">2026-12-07</t>
  </si>
  <si>
    <t xml:space="preserve">Program lucu djp
Survey Kepatuhan Wajib Pajak
Like, bukankah penggunaan pajaknya lbh urgent utk disurvey kepatuhannya?</t>
  </si>
  <si>
    <t xml:space="preserve">sucianamarida</t>
  </si>
  <si>
    <t xml:space="preserve">Tax officer to tax officer,
Semuak apa kalian sama yg namanya PMK, SP2DK, dan PEMERIKSAAN ????
Aku selalu "PENGEN RESIGN" sampe nangis nangis ovt tapi besoknya masih di kerjain 😭 besoknya masih pergi ngantor 😭</t>
  </si>
  <si>
    <t xml:space="preserve">insaniinsani</t>
  </si>
  <si>
    <t xml:space="preserve">Subuh ini, tiba-tiba klien putus kontrak by WA, ga akan lanjut kerjasama. Dari 2 minggu lalu pun udah ada gelagat begitu, awalnya SP2DKnya aku yg kerjain, tiba-tiba telepon, cerita kalau ada kenalannya dia kenal orang ex pegawai DJP, kemudian bisa bantu urus SP2DK dengan dalih "kenal ARnya, dulu teman sekantor, jadi beliau yg mau bantu"
Oke. Tentu dong Aku mah gpp, karna resiko klien ini gede bgt, ga punya data sama sekali kecuali rekening koran, Alhamdulillah gajadi pusing kan.</t>
  </si>
  <si>
    <t xml:space="preserve">ifan.ra</t>
  </si>
  <si>
    <t xml:space="preserve">Ada temen yang kena SP2DK dari DJP. Yang bikin kaget bukan soal berapa yang harus dijelasin, tapi caranya DJP tau: bukan dari SPT, bukan dari laporan bank. Dari Instagram dia jualan.</t>
  </si>
  <si>
    <t xml:space="preserve">pembela_kebenaran_7</t>
  </si>
  <si>
    <t xml:space="preserve">Pengusulan peserta Komcad ASN di Direktorat Jenderal Pajak berpotensi tidak sesuai dengan UU 23 2019:
1. Sebagaimana diatur dalam pasal 28 ayat (2) berbunyi “ Komponen Cadangan sebagaimana dimaksud pada ayat (1) huruf a merupakan pengabdian dalam usaha pertahanan negara yang bersifat sukarela.”
2. Peserta tidak diambil dari penawaran terbuka, melainkan USULAN dari Kantor yang banyak diantaranya tidak dilakukan konfirmasi kepada pegawai yang diusulkan.</t>
  </si>
  <si>
    <t xml:space="preserve">prslksn66_</t>
  </si>
  <si>
    <t xml:space="preserve">Halo threads,
Pertemukan saya dengan Penyidik Tindak Pidana Perpajakan.
Ingin berdiskusi sebuah kasus. 😄</t>
  </si>
  <si>
    <t xml:space="preserve">Dari ex-DJP untuk Wajib Pajak:
Laporlah sebelum data yang melapor👀</t>
  </si>
  <si>
    <t xml:space="preserve">Pembahasan SP2DK di KPP bareng AR... 30% bahas materi SP2DK, 70% sharing cerita2 tentang resign dari DJP...😅</t>
  </si>
  <si>
    <t xml:space="preserve">nilacorneliana</t>
  </si>
  <si>
    <t xml:space="preserve">2026-07-19</t>
  </si>
  <si>
    <t xml:space="preserve">TNI dilibatkan utk pengawasan dalam hal Pajak.
Ini udh diluar tupoksi nya aparat.
The real semua dimiliterisasi, mana 2029 masih lama lagi 🥹.</t>
  </si>
  <si>
    <t xml:space="preserve">diditkhan</t>
  </si>
  <si>
    <t xml:space="preserve">2026-11-04</t>
  </si>
  <si>
    <t xml:space="preserve">Halo 
@ditjenpajakri
 datanya bocorkah ?
🥲</t>
  </si>
  <si>
    <t xml:space="preserve">davin.arkn</t>
  </si>
  <si>
    <t xml:space="preserve">ada yang pernah dapet surat cinta dari dirjen pajak perkara lebih bayar Rp 2,500? ini beneran didatengin gak sih ke rumah 😂</t>
  </si>
  <si>
    <t xml:space="preserve">ayndines</t>
  </si>
  <si>
    <t xml:space="preserve">baru tau pegawi djp pada kena target, pusing juga yaaak (?)
niiii koruptor2 asu smg sengsara dunia akhirat</t>
  </si>
  <si>
    <t xml:space="preserve">sakti_alfattaah</t>
  </si>
  <si>
    <t xml:space="preserve">2025-11-15</t>
  </si>
  <si>
    <t xml:space="preserve">Nightmare banget sih, jam 3.34 dapet email dari DJP katanya saya disuruh ngelunasin utang pajak. Perasaan gak punya utang pajak apapun sama negara. 😌</t>
  </si>
  <si>
    <t xml:space="preserve">myyournamecl</t>
  </si>
  <si>
    <t xml:space="preserve">Lagi kepikiran..
Knp ya pajak kita tuh punya wewenang pemeriksaan sampai bbrp thun kebelakang..
Kan kta udh disuruh hitung sendiri, bayar jugaa, udh lapor di thn yg sama. Eh tiba2 3 thn kedepan, orang pajak berhak memeriksa dan kenain denda lagi kalau laporan kita salah..
Jadi mrka mengakui kalau mrka ga kompeten utk mengecek semua laporan pajak di tahun yg sama dan kita yg harus nanggung bebannya? 🥲</t>
  </si>
  <si>
    <t xml:space="preserve">yanglagiheboh</t>
  </si>
  <si>
    <t xml:space="preserve">2026-07-18</t>
  </si>
  <si>
    <t xml:space="preserve">🔥 DJP sekarang bisa web scraping, remote sensing, sampai pantau media sosial lo. Plus gandeng Babinsa buat sisir wilayah. Era baru pengawasan pajak: lo diem di rumah pun tetap kecium</t>
  </si>
  <si>
    <t xml:space="preserve">revheadid</t>
  </si>
  <si>
    <t xml:space="preserve">2026-04-08</t>
  </si>
  <si>
    <t xml:space="preserve">PEMUTIHAN PAJAK KENDARAAN AGUSTUS 2026 🏍️⛽
Bro, cek STNK lo sekarang juga. Ada 13 provinsi yang lagi ngadain pemutihan pajak kendaraan bulan ini — alias lo bisa bayar pajak tanpa denda, bahkan ada yang diskon pokok pajaknya!
Ini bukan drill. Beberapa cuma berlaku sampai 31 Agustus. Sayang banget kalo kelewat.</t>
  </si>
  <si>
    <t xml:space="preserve">he.lmi2631</t>
  </si>
  <si>
    <t xml:space="preserve">Yang paling aman itu justru yang tidak punya NPWP.. Mereka tidak membayar pajak sama sekali dan tidak dipusingkan oleh pajak padahal tetangga ku online Shopee perbulan milyaran omset nya tetapi tidak mau tau dan tidak mau bayar pajak sama sekali sampai skrng aman aman saja</t>
  </si>
  <si>
    <t xml:space="preserve">DJP B4J1NG4N T0L0L😂🤣😭😱</t>
  </si>
  <si>
    <t xml:space="preserve">2025-02-07</t>
  </si>
  <si>
    <t xml:space="preserve">Buat pegawai DJP, mutasi nasional itu adalah keniscayaan, suka ngga suka, mau ngga mau, siap ngga siap. Diterima, laksanakan, jalani. Apalagi kalo suami istri sama2 dinas di DJP.
Ada yg baru nikah sebulan, eh bulan berikutnya sdh LDMan. Ada yg pindah ke kota dinasnya suami, eh malah suaminya mutasi beda pulau. Ada juga yg baru lahiran, lha bapaknya si bayi mutasi dari zona WIB ke zona WIT.
Itu cerita sedihnya yg terkadang bikin hadeh hadeh plus menguras kantong</t>
  </si>
  <si>
    <t xml:space="preserve">mohilmiii</t>
  </si>
  <si>
    <t xml:space="preserve">Hidup adalah pilihan,
Jadi pns djp, adalah pilihan
Jadi ar tapi keluar hombes ? Bukan pilihan si, itu takdir wkwk
Kosan sebulan 3 jt tapi nyaman, cuman jarang balik rumah ? Pilihan
Kosan murah tapi sering balik rumah ? Juga pilihan,
Ya semua tentang pilihan, tapi ada takdirnya juga, jadi.
Ga ada sih, cuman nulis aja 🥲</t>
  </si>
  <si>
    <t xml:space="preserve">kembang_kemboja_92</t>
  </si>
  <si>
    <t xml:space="preserve">2026-07-08</t>
  </si>
  <si>
    <t xml:space="preserve">Warga, negara kita ini udah mau bangkrut ya? Gue nanya aja serius. Karena perusahaan kecil tempat temen gue kerja, salah satu rekening banknya diblokir atas permintaan kantor pajak gara gara nunggak panjak 4 juta doang. Beneran 4 jt doang. Bukan 40 atau 400 jt. Padahal 4 jt palingan sekali makannya Rafi Ahmat yak. Udah sekere itu ya Indonesia? Sampe recehan aja diuber kaya ngejar duit miliaran</t>
  </si>
  <si>
    <t xml:space="preserve">mariasriningsihbm_</t>
  </si>
  <si>
    <t xml:space="preserve">Aku nggak minta pajakku dikurangin.
Aku cuma pengen ada di aplikasi PAJAK :
Selamat! Pajak Anda bulan ini berhasil digunakan untuk :
2 paving block jalan Kalimantan Timur
1/3 kursi sekolah di Papua Barat
5 meter marka jalan Samarinda
7 lembar kertas di kantor kecamatan Marga Sari Balikpapan
Terima kasih sudah berkontribusi untuk Indonesia 🎉😘 (jgn lupa emot cium, biar aku senang sebagai WNI)
Jadi tiap lihat fasilitas umum aku bisa bilang :
"wih Itu marka ada sahamku"
shibal, GITU AJA GA BISA</t>
  </si>
  <si>
    <t xml:space="preserve">awiejeep</t>
  </si>
  <si>
    <t xml:space="preserve">2026-05-31</t>
  </si>
  <si>
    <t xml:space="preserve">Pelaku UMKM dengan omzet 6 jt per bulan akan di kenakan pajak 🤣🤣🤣🤣
Pejabat dgn omzet ratusan juta pajaknya minta di bayarin negara 🤣🤣
Konoha begitu kaya yaaa 🤣🤣🤣🤣🤣</t>
  </si>
  <si>
    <t xml:space="preserve">anglalami_</t>
  </si>
  <si>
    <t xml:space="preserve">Buka tempat makan 2,5 bulan didatengin tukang pajak sekali, trus ditelponin, trus dikirk surat suruh bayar Ppn 10%, lha aku ini UMKM baru buka, sepajang jalan ruko yang aku sewa tahunan orang2 usaha cuma aku yang dapet surat dr UPT pajak? WHY??????? Aku pengen misoh, aku di PHK, buka usaha gk ada yang minjemin modal, baru jualan suruh bayar pajak, ki konsep urep macam apaaaa</t>
  </si>
  <si>
    <t xml:space="preserve">inainsyirah26</t>
  </si>
  <si>
    <t xml:space="preserve">2026-07-20</t>
  </si>
  <si>
    <t xml:space="preserve">In this economy, aku pelaku umkm, bisnis warkop kecil²an. Hari inu di datangi org pajak daerah, minta di bayarin pajak 😭😭. Mereka minta perbulan dg nominal y menurut kami besar.
Sedangkan perbulan aja pendapatan bersih gak sampai 1 jt
Terasa sampai keubun² sedih dan sesak, aceh lon sayang , indonesia tercinta 🥺</t>
  </si>
  <si>
    <t xml:space="preserve">cek_lok4</t>
  </si>
  <si>
    <t xml:space="preserve">2026-09-07</t>
  </si>
  <si>
    <t xml:space="preserve">Mana ini Purbacot??? Yang katanya bc dan pajak ga tersentuh soal korupsi? Ehh, Aparat sebelah baru aja kebongkar boroknya dan lagi mati2an dibela loreng. Bahkan berusaha utk tidak tersentuh
Lu ngomongin bc pajak atau instansi sebelah purbacot??? Harus bubarin juga ga sih instansi sebelah itu kalau ikut statement lu sebelumnya??🤪🤪🤪
Mana ini masyarakat indo? Dah tersadarkan belum bahwa instansi sebelah yg tak tersentuh sama sekali🤪🤪🤪
Baru satu aja yg ketahuan, nilainya fantastis bener😍😍</t>
  </si>
  <si>
    <t xml:space="preserve">Wedeww,baru 1 oknum aja udah rame bener
Bisa kali yee diaudit jaksa seluruh indo? Ehh lupa, ntar dipersulit kalau mau P21, Ehh lupa, ga ada yg berani yee
Eh lupa, malah ntar dituntut balek
Ehh baru ingat,inikan bukan bc dan pajak,ga seru bih beritanya 🤪🤪💩💩</t>
  </si>
  <si>
    <t xml:space="preserve">oetan.kayoe</t>
  </si>
  <si>
    <t xml:space="preserve">2025-04-25</t>
  </si>
  <si>
    <t xml:space="preserve">Mobil Tua, Ginjal Soak, Tapi Semangatnya Tak Pernah Usang.
Dua tahun lagi, suamiku akan pensiun sebagai ASN di Direktorat Jenderal Pajak.
Lembaga tempat ia mengabdi lebih dari separuh hidupnya.
Bagiku… ia adalah sosok yang luar biasa,
bukan karena jabatan,
tapi karena ia tetap menjalani semuanya meski tubuhnya perlahan melemah.
Menjadi istri pegawai pajak…
bukan hal yang selalu mudah.
Ada tatapan sinis. Ada komentar miring.
“Wah, pasti hidup mewah ya.”
Padahal...mereka tak pernah tahu.👇👇</t>
  </si>
  <si>
    <t xml:space="preserve">martinsimb</t>
  </si>
  <si>
    <t xml:space="preserve">masih sering bingung kok bisa ya fungsional aja 1 kali luar pulau 2x homebase/dekat homebase. kita setara pelaksana, kerja hampir 11 tahun udah 2x luar pulau (pernah papua juga) cuman 4 tahun dekat homebase (beda provinsi lagi). sabar2 pegawai djp 😇</t>
  </si>
  <si>
    <t xml:space="preserve">resa.r_r</t>
  </si>
  <si>
    <t xml:space="preserve">kasian juga jadi pegawai djp.
udah sosialisasi sana sini, teknis udah dipikirin scr matang, banyak pertanyaan dari wp dijawab dengan sabar, dan jadi tameng
agustus baru jalan 6 hari, peraturan mya ditunda sampe November 😂😂</t>
  </si>
  <si>
    <t xml:space="preserve">anita.elmona</t>
  </si>
  <si>
    <t xml:space="preserve">2025-06-18</t>
  </si>
  <si>
    <t xml:space="preserve">Apa profesi yang paling tidak kamu rekomendasikan untuk anakmu ketika sudah besar nanti?
Me:
1. Polisi/TNI
2. Pengacara, Hakim &amp; Sejenisnya
3. Pegawai Pajak / Bank
Yang paling direkomendasikan
1. Engineer
2. Pedagang
3. Petani</t>
  </si>
  <si>
    <t xml:space="preserve">Buat pegawai DJP, mutasi nasional itu adalah keniscayaan, suka ngga suka, mau ngga mau, siap ngga siap. Diterima, laksanakan, jalani. Apalagi kalo suami istri sama2 dinas di DJP.
Ada yg baru nikah sebulan, eh bulan berikutnya sdh LDMan. Ada yg pindah ke kota dinasnya suami, eh malah suaminya mutasi beda pulau. Ada juga yg baru lahiran, lha bapaknya si bayi mutasi dari zona WIB ke zona WIT.
Itu cerita sedihnya yg terkadang bikin hadeh hadeh plus menguras kantong.</t>
  </si>
  <si>
    <t xml:space="preserve">hope_toshine</t>
  </si>
  <si>
    <t xml:space="preserve">Gue drop banget krn hari ini diputuskan kena HUKDIS karena menolak untuk ikut Komcad ASN. Gue cewe, tentunya gue punya alasan yang logic knp sampe berat hati memilih untuk dapat konsekuensi drpd ikut komcad, tp gue ga bs share disini, takut ketauan bahwa ini gue. Rasanya hari ini sedih, hilang semangat, dan merasa mengecewakan ortu yg happy gue jadi PNS. Apakah ada yg senasib? Boleh donk ikut sharing disini buat kuatin gue.. btw gue ga butuh tau kalian siapa atau dr instansi mana..</t>
  </si>
  <si>
    <t xml:space="preserve">DJP TUTUP MULUT AJA DECH daripada Blunder Muluu 😨
Udah betul Purbaya suruh DJP HENTIKAN PENGUMUMAN BLUNDER !! Pada TOLOLL siih isinya😩
Penyuluh Kantor Pusat DJP ajah ASAL BACOT GAK PAKAI DASAR HUKUM, gimana Rakyat di lapangan ??😭😱</t>
  </si>
  <si>
    <t xml:space="preserve">diog.enessinope</t>
  </si>
  <si>
    <t xml:space="preserve">Purbaya Soroti Kesenjangan Gaji di Kemenkeu, Canda Potong Gaji Pegawai Pajak share.google/wKjBs…
Potong saja pak, udah overpaid dari tahun 2015, bayangkan aja AR yg lulusan SMA di DJP pada tahun 2015 Tukinnya minimal sudah 12.5 juta, belum gaji bonus dll. Lebih baik potong, dan berikan ke Dirjen lain, gantian angka tukinnya.</t>
  </si>
  <si>
    <t xml:space="preserve">insanginanjar</t>
  </si>
  <si>
    <t xml:space="preserve">Mau lapor SPT lewat Coretax, tiba tiba kaget aja kok dibilang ada penghasilan dari BCA dan Shopee, klo sistem lapor lama ga pernah ky gini, ternyata dengan coretax ini kalau Lo jajan kopi trus dapat diskon cashback itu ada pajaknya..dan terbit bupot nya.., ternyata berbuntut panjang SPT jadi kurang bayar..ada yg pernah ky gini juga ga? Kira-kira setelah ini masih mau dapet diskon promo cashback dll ??</t>
  </si>
  <si>
    <t xml:space="preserve">alex.mercerdes</t>
  </si>
  <si>
    <t xml:space="preserve">Restitusi pajak ditolak semua dengan alasan uang nya lari ke mbg.
Selama 10 tahun mengikuti djp, baru pertama kali kantor pajak kehabisan duit seperti ini.</t>
  </si>
  <si>
    <t xml:space="preserve">timtimnugroho</t>
  </si>
  <si>
    <t xml:space="preserve">ada anomali komen "emang lu udah berbuat apa buat negara?" Mau ngiklan blom tentu profit aja udah kena pajak duluan.</t>
  </si>
  <si>
    <t xml:space="preserve">sipasultac</t>
  </si>
  <si>
    <t xml:space="preserve">sekarang smua bisa dilihat sejak ada coretax</t>
  </si>
  <si>
    <t xml:space="preserve">silverkey.realty</t>
  </si>
  <si>
    <r>
      <rPr>
        <sz val="10"/>
        <rFont val="Arial"/>
        <family val="0"/>
        <charset val="1"/>
      </rPr>
      <t xml:space="preserve">Dari Kasus Tom Lembong ...bagaimana bisa PPN yang di setor ke negara di anggap kerugian Negara ???...bagaimana bisa di percaya negara ini sama rakyat nya klau begini caranya ???
#fyp</t>
    </r>
    <r>
      <rPr>
        <sz val="10"/>
        <rFont val="Noto Sans CJK SC"/>
        <family val="2"/>
      </rPr>
      <t xml:space="preserve">シ
</t>
    </r>
    <r>
      <rPr>
        <sz val="10"/>
        <rFont val="Arial"/>
        <family val="0"/>
        <charset val="1"/>
      </rPr>
      <t xml:space="preserve">#kasustomlembong
#tomlembong
#keadilanuntuktomlembong</t>
    </r>
  </si>
  <si>
    <t xml:space="preserve">Guys fyi ya biar ga keliru, ASN BAYAR PAJAK YA. Semua penduduk indonesia bayar pajak, thanks.</t>
  </si>
  <si>
    <t xml:space="preserve">baard.ads</t>
  </si>
  <si>
    <t xml:space="preserve">ada orang DJP atau orang pajak ga disini? saya uda nanya 20 orang, semuanya beda2 jawabnya😪😫
mengenai suket pp 55.
kalau ga dapet suket ini, tapi omset dibawah 500 juta, emang jadi ga bisa hapus pajak?
status pegawai swasta dengan usaha sampingan.
kebetulan tahun2 sebelumnya omset diatas 500jt, tapi turun terus sampe titik terendah th ini.
ada yg bilang, DJP taunya omset itu WAJIB naik terus. 😅</t>
  </si>
  <si>
    <t xml:space="preserve">aziziahzz</t>
  </si>
  <si>
    <t xml:space="preserve">Haloo, saya mau nanya apakah teman-teman disini punya pengalaman seperti ini.
Saya dapat email dari DJP (Direktorat Jendral Pajak) berserta pdf yang berisi data2 saya. Trus saya klik link WA yg di email untuk konfirmasi, lalu nomor WA tersebut lgsg nelpon saya katanya mau dibantuin konfirmasi cortex dan akan dikirimkan kartu NPWP versi terbaru.
Apakah ini penipuan? Terima kasih</t>
  </si>
  <si>
    <t xml:space="preserve">dossantosjulieta</t>
  </si>
  <si>
    <t xml:space="preserve">Tiba2 di email DJP punya utang ke negara 100.000 , tp tahun pajak 2022. Yg tahu perpajakan mgkn bs dibantu pencerahannya kakak2, ini utang apaa ? Dan kenapa baru di tagih</t>
  </si>
  <si>
    <t xml:space="preserve">bumigumigu</t>
  </si>
  <si>
    <t xml:space="preserve">WNI ✅
ASN ✅
Kemenkeu ✅
DJP / BC ✅
insyaAllah banyak pahala jalur difitnah</t>
  </si>
  <si>
    <t xml:space="preserve">Buat yang mau jadi CPNS DJP. Penerimaan Sarjana itu masuk golongan IIIa. Gaji bisa diliat di PP 5 tahun 2024. MKG (Masa Kerja) 0 2.785.700. Tunjangan Pelaksana langsung grade 8 Rp.8.457.500. Kalo suda nikah tunjangan suami 10% dari gaji. Kalo Diploma III, masuk golongan IIc - Pelaksana grade 6 Rp.7.673.375. Siap ditempatkan seluruh Indonesia. Cek tiket pesawat cukup ga. Jangan sampe ngerasa ketipu dan milih resign.</t>
  </si>
  <si>
    <t xml:space="preserve">budakorporat_id</t>
  </si>
  <si>
    <t xml:space="preserve">Baru aja DJP ngumumin aturan baru: mereka bakal awasi pajak lo pake web scraping, remote sensing, sampe baca karya ilmiah.
Bayangin, skripsi lo tahun 2015 bisa jadi bukti lo ngemplang pajak.</t>
  </si>
  <si>
    <t xml:space="preserve">defauza_</t>
  </si>
  <si>
    <t xml:space="preserve">tp aku bingung bgt kak, terutapa dehepe kek susah bgt ngangkut suami istri dlm 1 sk. suamiku ditjen biru tua sblh, bisa gituh suami istri 1 sk. yg 1 instansi aja susah apalah lg beda instansi. 1.kemenkuy katanya tp sulit bgt bs gt beda sm ditjen lain. sampai skrg kubingung silapnya dimana.</t>
  </si>
  <si>
    <t xml:space="preserve">haloelangpg</t>
  </si>
  <si>
    <t xml:space="preserve">Emang sedihnya tu di Indonesia banyak pedagang lokal yang bisa dapetin duit gede hasil keringat sendiri tapi mereka emang gak paham soal pajak.
Alhasil, orang pajak datang di saat mereka duitnya udah gede.
Harusnya, orang pajak itu lebih gencar sosialisasi soal pajak, biar gak sering mencekik pedagang dengan cara begini lagi.
Dan yang paling penting gunakan uang pajak dengan jujur, jadi pedagang itu rela buat bayar pajak.</t>
  </si>
  <si>
    <t xml:space="preserve">aibikh</t>
  </si>
  <si>
    <t xml:space="preserve">Klo perusahaan grup besar tau cara melawan dejepe. Ajukan keberatan, banding dan PK ke pengadilan pajak. Cek aja putusan pengadilan pajak. Banyak kasus macem2.
Justru yang kayak gini malah yang kecil dan menengah. Tidak tau jalur yang tepat. Ujung2nya sita.</t>
  </si>
  <si>
    <t xml:space="preserve">Barusan ada calon klien. Usahanya toko bangunan. NPWP orang pribadi, belum PKP. Orangnya lumayan terkenal, rumah gede, mobil mewah.
Ngobrol-ngobrol, dia cerita baru dapat SP2DK dari kantor pajak.
Isinya? Disuruh jelasin pembelian puluhan miliar yang pakai KTP istri sama anak. Kejadiannya sekitar 3 tahun yang lalu.
Mampus 1. 😅</t>
  </si>
  <si>
    <t xml:space="preserve">ginanjar_eka_putra</t>
  </si>
  <si>
    <t xml:space="preserve">Seharusnya pada kompak aja gak bayar pajak sebagai bentuk ketidakpercayaan kepada pemerintah dan "wakil" rakyat, kenapa? Karena banyak kasus korupsi, gaji+tunjangan "wakil" rakyat sampai 38x lipat rata2 UMR masyarakat, rendahnya kinerja mereka, ditambah lagi rasa empati mereka yang rendah.</t>
  </si>
  <si>
    <t xml:space="preserve">wawanagung</t>
  </si>
  <si>
    <t xml:space="preserve">Bagi orang diluar dejepe anggapannya dah paling mampu dan sultan. Krn y itu mau kyk apapun jelasin itu mindsetnya. Selalu ingat perkataan Ali ra, cukup kita dan keluarga saja yg tau yg laen g penting</t>
  </si>
  <si>
    <t xml:space="preserve">gemintangkidung</t>
  </si>
  <si>
    <t xml:space="preserve">kerjaan gue gada jatidiri.
tp kehidupan gue kegencet pajak mulu.
cita²nya anak gue bakal dinamakan : dejepe core tax holiday.
😭😭😭</t>
  </si>
  <si>
    <t xml:space="preserve">dimitri.josephine</t>
  </si>
  <si>
    <t xml:space="preserve">Sampe sekarang belum dan gak mau daftarin pajak ke Coretax atau apapun itu. Karena selain gak ngerti, males juga 🫠 Ada yang bisa jelasin akibatnya kalau gak lapor pajak ?</t>
  </si>
  <si>
    <t xml:space="preserve">arya.pradana</t>
  </si>
  <si>
    <t xml:space="preserve">Saran saya lebih baik ga usah aktivasi coretax. Uang pajaknya juga dipake ngegaji wapres, lalu untuk mbg yg dikorup berjamaah.</t>
  </si>
  <si>
    <t xml:space="preserve">mikyalaaaaa</t>
  </si>
  <si>
    <t xml:space="preserve">Mikir nggak yaa kayak gini tuh malah bisa nambah coat usaha. Ekonomi lagi lesu, apa-apa dipajakin tuh kek mana sih cara mikirnya. Pantesan investor pada kabur, makin nggak jelas iklim usaha di sini tuh.</t>
  </si>
  <si>
    <t xml:space="preserve">by.flowie</t>
  </si>
  <si>
    <t xml:space="preserve">Duit pajak mu dibuat gaji loreng ijo Pak hezel, karna baru aja naik tunjangan mereka</t>
  </si>
  <si>
    <t xml:space="preserve">partekere</t>
  </si>
  <si>
    <t xml:space="preserve">Jika kalian punya teman atau kerabat yg kerja di kantor pajak, coba tanya apa benar kantor pajak dikasih target setor 300 juta per bulan untuk program Prabowo.</t>
  </si>
  <si>
    <t xml:space="preserve">budinyemelo</t>
  </si>
  <si>
    <t xml:space="preserve">Kalo sistem negara ini bener, gak perlu pajak. Negara kaya kok. Ada kan negara makmur tanpa pajak? Ada gak? Kalo ada berarti negara ini juga bisa KALAU MAU.</t>
  </si>
  <si>
    <t xml:space="preserve">ichemjambak</t>
  </si>
  <si>
    <t xml:space="preserve">PAJAK ADALAH BENTUK KEDZOLIMAN.. SEMOGA SEMUA PETUGAS PAJAK MASUK NERAKA</t>
  </si>
  <si>
    <t xml:space="preserve">daniswar_a</t>
  </si>
  <si>
    <t xml:space="preserve">pajak nih dimana2 menghambat orang2 untuk maju ya</t>
  </si>
  <si>
    <t xml:space="preserve">mnbvcxzdfgjytr</t>
  </si>
  <si>
    <t xml:space="preserve">GUYS KALIAN APA GAK GERAH YA LIAT PAJAK KALIAN DIBELIIN HERMES CHANEL YANG MILYARAN ITU SAMA ISTRI DAN ANAK PEJABAT??? KITA TUH DIMISKINKAN OLEH SISTEM GAK SIII</t>
  </si>
  <si>
    <t xml:space="preserve">farawawa_</t>
  </si>
  <si>
    <t xml:space="preserve">Salah satu Pajak yg gak masuk akal menurutku, Pajak Pesangon.. org kena PHK masih aja kena pajak.</t>
  </si>
  <si>
    <t xml:space="preserve">noviantyilma</t>
  </si>
  <si>
    <t xml:space="preserve">I said it again: JYUJYUR JANGGAL BUAT NEGARA SEKAYA INI ALAMNYA, PENDAPATAN TERBESAR MASIH DARI PAJAK.</t>
  </si>
  <si>
    <t xml:space="preserve">youggggga</t>
  </si>
  <si>
    <t xml:space="preserve">Uang pajak kita dikorupsi pejabat. Kita kepikiran untuk gak usah bayar pajak. Lha tapi kalau yang kerja jd pegawai, karyawan, dll kebanyakan gajinya udah potong pajak. Kira-kira gmn biar bisa gak bayar pajak? 🤔</t>
  </si>
  <si>
    <t xml:space="preserve">agntsm</t>
  </si>
  <si>
    <t xml:space="preserve">Kaum lapisan kelas menengah kebawah yang tak pernah setor pajak... seenaknya nyaplak ayo mogok bayar pajak 😆😀😁, emang kapan lu setor pajaknya tong !!!! Mana udah buta perpajakan lagi.</t>
  </si>
  <si>
    <t xml:space="preserve">nixenz</t>
  </si>
  <si>
    <t xml:space="preserve">Uang tunai tapi musti ada norek dan nama bank nya. Mereka yg di DJP nih ngerti definisi tunai ga sih? Dasar KO*T**! (dibaca: KORTEX!)</t>
  </si>
  <si>
    <t xml:space="preserve">wdystmr</t>
  </si>
  <si>
    <t xml:space="preserve">Jadiii aku sama suami alhamdulillah selama ini dicukupkan untuk rajin bayar zakat. dan pas lapor SPT 2025 kemarin, kita berdua masukan laporan zakat ke pelaporan SPT. ternyata jadi lebih bayar. yaudah deh dilaporkan, ehh hari ini di transfer negara. alhamdulillah bisa dipakai beli bensin. 🥺🥺</t>
  </si>
  <si>
    <t xml:space="preserve">kyrieelysn</t>
  </si>
  <si>
    <t xml:space="preserve">Kemarin coba lapor SPT pajak perdana secara mandiri, kaget tiba tiba ada kurang bayar segini 😭
Berasa kerja di eropa gw 😭
Untung masih bisa dibenerin lagi 😭👍</t>
  </si>
  <si>
    <t xml:space="preserve">alteralvin</t>
  </si>
  <si>
    <t xml:space="preserve">Orang yg tau pajak bantu dong
Duit dividen udah dibeliin jajan, g lapor pajak SPT kira2 aman ga ya bang??
Was2 jg kalo tiba2 diblokir 
Lagian dapet divuden kecil cm 2jt masa harus urus segala keribetan pajaknya si
Aku ada si NPWP tapi non efektif jadi g pernah lapor SPT tahunan</t>
  </si>
  <si>
    <t xml:space="preserve">AR sebenarnya sudah bisa membaca SPT mu dan kamu bisa diperiksa. Namun, tidak ada bahan untuk SP2DK. Oleh karena itu, jangan memicu pemeriksaan. Contohnya: buat SPT tahunan, LB, atau restitusi.</t>
  </si>
  <si>
    <t xml:space="preserve">danilliong</t>
  </si>
  <si>
    <t xml:space="preserve">Siapa yang senasib dengan saya, dalam 2 minggu terakhir muncul sp2dk banyak banget 🥺.. setelah masa SPT muncul masa Sp2dk, kapan istirahatnya</t>
  </si>
  <si>
    <t xml:space="preserve">jaisyanwaruddin</t>
  </si>
  <si>
    <t xml:space="preserve">Ternyata, lebih enak lapor SPT di kantor pajaknya langsung gaess... 🤣🤣 gratis. Bisa konsultasi perpajakan, enak lah pokoknya.
..
Jadi Saya kan punya CV, punya istri, istri juga punya CV. Nah ini yang bikin bingung :
- apa di spt pribadi saya laporin yg cv saya juga?
- spt istri dilaporin di spt saya juga kah?
- CV istri dilporin di cv istri atau saya? 
- kalau byk CV omsetnya disatuin kah?
Dan Akhirna semua terjawaabb.. 😁 plong rasanya. Klo yg ngomong org pajak resmi kan valid ya.. 😁</t>
  </si>
  <si>
    <t xml:space="preserve">ferwij</t>
  </si>
  <si>
    <t xml:space="preserve">Punya rekening di banyak bank ternyata sangat merepotkan pada saat mau Laporan SPT Tahunan jaman now. 🙈
Padahal saldonya seiprit2 tok.</t>
  </si>
  <si>
    <t xml:space="preserve">oktafiananatalia</t>
  </si>
  <si>
    <t xml:space="preserve">Iseng bikin shopi affiliate program. Pas buka coretax DUAAAAAAAAAAAAAAAR bukti potongnya banyak 😭 padahal gak seberapa juga nominalnya. 
Malah bikin repot</t>
  </si>
  <si>
    <t xml:space="preserve">hovebydn</t>
  </si>
  <si>
    <t xml:space="preserve">Mau terima kasih sama mba mba yang udah share ini, 
Izin share ya ini sangat membantu banget dalam mengisi laporan SPT Tahunan di Coretax. 
sebagai panduan buat kalian juga tmen tmen warga threads buat lapor❤️</t>
  </si>
  <si>
    <t xml:space="preserve">manusiasaja2008</t>
  </si>
  <si>
    <t xml:space="preserve">Bang @bule_sampah slide yg ttg pajak, iya bener pajak Indonesia lebih rendah, tetapi ending2nya pajak tsb banyak yg dikorupsi, jadi rakyat tdk bisa menikmati pajaknya, selain itu pajak lebih rendah karena gaji juga jauhhhh lebih rendah bang.
Tetapi memang yg mau kabur aja dulu harus berpikir panjang dan mental kuat karena merantau di negara yg sgt berbeda dg negara sendiri banyak tantangannya.</t>
  </si>
  <si>
    <t xml:space="preserve">mclestari</t>
  </si>
  <si>
    <t xml:space="preserve">minggu ini udah 2 kali ada razia pajak di katapang depan eiger wkwkwk 
negara beneran keabisan duit gara-gara program gajelas😂😂😂</t>
  </si>
  <si>
    <t xml:space="preserve">fadiaahn</t>
  </si>
  <si>
    <t xml:space="preserve">Ga lapor SPT sanksinya apa yah? Walaupun aneh kita udah bayar pajak tapi gara2 ga lapor jadi kena sanksi.</t>
  </si>
  <si>
    <t xml:space="preserve">aureliagst</t>
  </si>
  <si>
    <t xml:space="preserve">Selama ini aku gak pernah lapor SPT tahunan. Tiap mau lapor tu takut denda😩
Kemarin aku coba buka coretax dan coba isi lapor SPT gitu. Sampe akhirnya status "LEBIH BAYAR." Jadi aku coba untuk langsung ke kantor DJP untuk lapor SPT pertama kalinya 🙈
Dibantu sama staffnya yang ramah &amp; sangat membantu. Akhirnya emang lebih bayar dan lebihnya tuh lumayan banget.. kalo aku gak lapor SPT kemarin, aku gak bakal tau kalo aku ada lebih bayar.</t>
  </si>
  <si>
    <t xml:space="preserve">maskonsultanpajak</t>
  </si>
  <si>
    <t xml:space="preserve">Tidak melaporkan aset di SPT Tahunan, akan menimbulkan masalah di kemudian hari.</t>
  </si>
  <si>
    <t xml:space="preserve">alfath__hkm</t>
  </si>
  <si>
    <t xml:space="preserve">Ada new klien sampai bilang, “Nggak usah lapor pajak SPT Badan, bayar denda 1 juta aja, toh udah telat juga.”
Padahal ini yang salah paham,
Denda itu bukan pengganti kewajiban lapor pajak. Setelah kena denda pun, SPT Badan tetap wajib dilaporkan.
Belum lagi kalau ternyata:
1. status SPT kurang bayar, bisa kena bunga/sanksi lain
2. data DJP tidak matching
3. atau malah memicu pemeriksaan dan permintaan klarifikasi
Jadi jangan anggap denda itu “jalan pintas” supaya gak perlu lapor pajak ya
Perpanjangan batas pelaporan SPT Badan berakhir sampai bulan Mei ini. Tinggal beberapa hari lagi, jangan lupa segera lapor SPT Badan sebelum makin ribet nanti.
Jadi udah lapor belum ?</t>
  </si>
  <si>
    <t xml:space="preserve">fahrisal.97</t>
  </si>
  <si>
    <t xml:space="preserve">Teman saya pernah kena denda pajak.
Bukan karena kurang bayar pajak.
Tapi karena lupa lapor SPT Tahunan.
Padahal pajaknya sudah dipotong dari gaji tiap bulan. 👀
Ini salah satu kesalahpahaman paling sering.
“Pajak saya sudah dipotong kantor, jadi tidak perlu lapor lagi.”
Padahal… potong pajak ≠ lapor pajak.
Walaupun pajak gaji sudah dipotong perusahaan,
kita tetap wajib melaporkan SPT Tahunan ke Direktorat Jenderal Pajak.
Karena negara perlu tahu laporan pajak kita selama 1 tahun.</t>
  </si>
  <si>
    <t xml:space="preserve">legalizecoid</t>
  </si>
  <si>
    <t xml:space="preserve">Siapa bilang telat lapor SPT gak bakal ketahuan? DJP sekarang otomatis nerbitin surat tagihan kayak gini.</t>
  </si>
  <si>
    <t xml:space="preserve">jerrayasya</t>
  </si>
  <si>
    <t xml:space="preserve">Gak susah kok lapor SPT Tahunan pribadi</t>
  </si>
  <si>
    <t xml:space="preserve">arn_95</t>
  </si>
  <si>
    <t xml:space="preserve">Unpopular opinion, menurut gue lapor pajak SPT Orang Pribadi lebih gampang pake Coretax 😅</t>
  </si>
  <si>
    <t xml:space="preserve">briggitadvi</t>
  </si>
  <si>
    <t xml:space="preserve">Suamiku tahun lalu lapor SPT hasil nihil kenapa tahun ini lapor spt kok malah di blg kurang bayar 1jt an , kalo lapor bukannya harus nihil ya? Ini kenapa ada yg bisa kasi jawaban? Uda gaji dipotong pajak , kan perusahaannya jg uda lapor gaji karyawan. Tgl lapor aja kok krg bayar gimane , ya gamau bayar lah kita sejuta lho 😌</t>
  </si>
  <si>
    <t xml:space="preserve">agustintoga</t>
  </si>
  <si>
    <t xml:space="preserve">Udah nggak bisa sembunyi lagi! Pemain Affiliate wajib lapor SPT tahun ini karena data makin transparan lewat Coretax. ❗</t>
  </si>
  <si>
    <t xml:space="preserve">edy.setiawan.94</t>
  </si>
  <si>
    <t xml:space="preserve">Orang sdh bayar pajak tapi belum lapor SPT kok dikesankan sebagai penjahat ya?</t>
  </si>
  <si>
    <t xml:space="preserve">adidah911</t>
  </si>
  <si>
    <t xml:space="preserve">Aku memutuskan untuk ga lapor SPT😭</t>
  </si>
  <si>
    <t xml:space="preserve">devahrnd</t>
  </si>
  <si>
    <t xml:space="preserve">Alhamdulillah done lapor spt coretax yg bikin pusing ini, karena aku baru jualan antam dibulan oktober 2025 jd pelaporannya cuma omset okt-des 2025 
sebelum pada nanya cara lapornya gimana, MAAFF aku juga gatauu soalnya aku pake jasa lapor spt😂 yukk kakak2 pedagang antam jangan lupa lapor spt yaa 😌😌</t>
  </si>
  <si>
    <t xml:space="preserve">sugiartiikikii</t>
  </si>
  <si>
    <t xml:space="preserve">Yang salah tuh SPT op yang lapor baru skrng, lu kemana aja anjirrrrrr udh dikasih keringanan. Ini anak SPT badan mau lapor dah semingguuuuuu coretaxnya error. Anak op enak denda 100rb, anak badan satu jutaaaa😭</t>
  </si>
  <si>
    <t xml:space="preserve">mukti_hd</t>
  </si>
  <si>
    <t xml:space="preserve">Ke sekian kalinya ikut materi PMK 37 tentang pajak marketplace ini, baik dari internal DJP maupun dari eksternal lembaga.
PoV saya akhirnya menyimpulkan :
1. khusus teman2 seller shopee/tiktok dll, data makin ke rekam jelas di coretax, melalui bukti potong. konsekuensinya adalah, bagi yg omzet ny &gt; 400 jt sebulan dan blm PKP otomatis masuk radar calon PKP selanjutnya. baik itu sub pribadi/dikukuhkan secara jabatan. +11% loh nanti
2. Review pricing stragey dan hpp. berat kalo harus nanggung 11%</t>
  </si>
  <si>
    <t xml:space="preserve">kancutberembun</t>
  </si>
  <si>
    <t xml:space="preserve">Hmmm tiba2 menkeu tunda pajak toko online.... Setelah sudah berjalan 5 hari. 🗿</t>
  </si>
  <si>
    <t xml:space="preserve">naiiiiilizaiidahh</t>
  </si>
  <si>
    <t xml:space="preserve">Abis meeting sm DJP 
Allahuakbarrrr
Pajak pajak pajak pajakkkk
Jualan di Ecommerce lama2 gede biaya bayarnya + pajaknya 🫠🫠</t>
  </si>
  <si>
    <t xml:space="preserve">inianaep</t>
  </si>
  <si>
    <t xml:space="preserve">Tentang Pemungutan PPh Ecommerce 0,5%
Untuk WP yang berhak untuk tidak dipungut PPh 22 ini, maka harus menyampaikan salah satu dokumen sebagai berikut : 
1. Orang Pribadi dengan omset sampai dengan 500 jt ===&gt; Sampaikan Surat Pernyataan Omset sampai dengan 500 jt
2.. Selain wajib pajak pada angka 1, yang memiliki SKB PPh ===&gt; Sampaikan SKB
jawab Ya nya di salah satu aja guys...</t>
  </si>
  <si>
    <t xml:space="preserve">light_consulting27</t>
  </si>
  <si>
    <t xml:space="preserve">Di situasi saat ini untuk kalian yang memiliki bisnis dan usaha jangan sampai kalian melakukan pembukuan yang asal asalan ya, karena sampai diperiksa pajak dan semuanya berantakan usaha kalian bisa terancam gais</t>
  </si>
  <si>
    <t xml:space="preserve">rofia_milla</t>
  </si>
  <si>
    <t xml:space="preserve">aku mendingan ngerjain puluhan SPT orang lewat DJP online daripada ngerjain 1 SPT di coretax. Bisa di boikot aja gak sih coretax ini 😩</t>
  </si>
  <si>
    <t xml:space="preserve">ilmansanjaya</t>
  </si>
  <si>
    <t xml:space="preserve">Coretax busuk kali. Ironisnya lebih mudah daftar pinjol dibanding lapor SPT.</t>
  </si>
  <si>
    <t xml:space="preserve">Edisi SP2DK.
Marilah kita coba sedikit berpikir positif, justru dengan adanya Coretax.
Wajib Pajak bisa tarik bukti potong secara langsung tanpa harus menghubungi customer dan menghemat waktu untuk menyusun tanggapan secara komprehensif.
Sehingga Wajib Pajak tidak perlu buang buang waktu, dan fokus pada temuan lainnya.</t>
  </si>
  <si>
    <t xml:space="preserve">setyanadyaaa</t>
  </si>
  <si>
    <t xml:space="preserve">Gw ga membela coretax ya, tapi baca utas orang2 di thread gw suka ketawa sendiri wkwkwk.
Kita semua membenci coretax dan marah karena aplikasinya kita anggap ga guna, tapi pas kita lapor SPT dan semua data penghasilan kita ternyata terkumpul muncul di coretax (as predicted) malah pada bilang ribet dan mending ga lapor.
Aplikasi ga sesuai harapan kita marah, aplikasi berjalan sesuai harapan kita tetep marah juga wkwkwk. Kita ini sebenernya ga tau kita maunya apa. Btw buruan dibenerin tuh app.</t>
  </si>
  <si>
    <t xml:space="preserve">adriboim</t>
  </si>
  <si>
    <t xml:space="preserve">Ternyata ketakutan atas coretax terlalu dilebih-lebihkan. Sistemnya jauh lebih ringkas dan mudah dibandingkan e-spt. a) lampiran yang gak relevan di hidden, b) bupot langsung keluar otomatis, c) pembayaran kurang pun langsung keluar kode billing.
Sudah dijalan yang benar. Lumayan.</t>
  </si>
  <si>
    <t xml:space="preserve">stiara12</t>
  </si>
  <si>
    <t xml:space="preserve">Ya allah mau lapor pajak, ada aja kendala nya. Ini siapa sih yg bikin coretax? Bikin susah masyarakat aja😭😭
Ada yg ngalami kendala ini? Ini pas mau login ga bisa, udh di klik lupa kata sandi tpi aktivasi utk ganti kanta sandi ga kunjung masuk ke email maupun nomor telepon🤧🤧</t>
  </si>
  <si>
    <t xml:space="preserve">annisaydi</t>
  </si>
  <si>
    <t xml:space="preserve">Udah difase gabisa ngomong apa apa lagi sama coretax udah capek banget tolong. Lembur berhari-hari untuk pembetulan data masa pajak Januari-November 2025 dan persiapan A1. Hari ini upload 850an Bukti Potong A1 (BP-A1) dan berujung error. Bruto yang harusnya penjumlahan dari beberapa aspek tapi pas import xml bruto yang tercantum cuma gaji aja. Lalu biaya jabatan yang harusnya jadi pengurang malah tidak. Berujung lapor dulu deposit untuk menggugurkan kewajiban lapor dan menghindari denda hadehhh</t>
  </si>
  <si>
    <t xml:space="preserve">beno_lahardo</t>
  </si>
  <si>
    <t xml:space="preserve">sumpah aku baru tau kalau ganti data rekening bank di coretax bisa by WA kantor tempat kita terdaftar aja</t>
  </si>
  <si>
    <t xml:space="preserve">oktafabri</t>
  </si>
  <si>
    <t xml:space="preserve">Fitur baru lagi di coretax, untuk preview Bukti Penerimaan Elektronik atau Bukti Lapor SPT. Kemajuan sedikit daripada yg sebelumnya yg harus banget dikirim via email.
Setelah klik preview - bisa langsung CTRL + P - Save as PDF biar sat set save BPEnya ✅</t>
  </si>
  <si>
    <t xml:space="preserve">yusufshid</t>
  </si>
  <si>
    <t xml:space="preserve">Gue curiga. Coretax ini didesain buat memudahkan kerja petugas pajak.
Otomatisasinya banyak.
Kontrolnya rapih.
Audit trail-nya cakep.
Masalahnya, “mudah di mereka” sering artinya “pusing di kita”.
Selain wajib bayar pajak, kita juga wajib lapor SPT.
Memang ribet ges makanya harus belajar. Nih gue kasih referensi belajar ngisi SPT murah wk</t>
  </si>
  <si>
    <t xml:space="preserve">kopitax</t>
  </si>
  <si>
    <t xml:space="preserve">Yang lagi rame dibahas 🔥
Bupot Cashback &amp; Affiliate
Menurut kopitax, begini cara melihatnya dari sisi pajak.
Bukan buat debat, tapi buat nambah sudut pandang ☕️
📌 Disclaimer:
Ini berdasarkan interpretasi aturan menurut kami,
Bisa aja beda dengan pendapat lain. 🫡
 #cashback #affiliate #coretax</t>
  </si>
  <si>
    <t xml:space="preserve">anasthaeka</t>
  </si>
  <si>
    <t xml:space="preserve">Tiba-tiba dapat email tagihan pajak. Apa nih? Perasaan gue patuh-patuh aja. Disuruh buka Coretax. Oke, tak buka. Gak gede nilainya, males ribut, ya udah langsung tak bayar lewat Ma**iri. Udah nih, beres. Pas mau lihat status pembayaran, bingung. Gak ada notif di Coretax, gak ada email masuk. Dih. Bilang makasih, kek, apa kek... Pajak gue lu pake buat MBG tiap hari jir... Giliran nagih heboh bener, pas langsung dibayar gak pake babibu, gak ada apresiasi...</t>
  </si>
  <si>
    <t xml:space="preserve">stellavanesa_</t>
  </si>
  <si>
    <t xml:space="preserve">Jgn kak..ngumpulin emas susah payah, selisih keuntungan kenaikan harga dianggap penghasilan dan disuru byr pajak... Mending kita jalan2 aja duitnya nggak usah diinvestasi.. haha 🫣
Beli emasnya pakai penghasilan yg sudah dikenakan pajak .. trus ada pph jual beli juga.. trus ada selisih harga dianggap keuntungan untuk dipungut pajaknya juga..OMG mantap👏</t>
  </si>
  <si>
    <t xml:space="preserve">rafipradata</t>
  </si>
  <si>
    <t xml:space="preserve">Pengen tahu (dengan nada lembut)
POV Pegawai Pajak KPP
Dari program2 pemerintah yg banyak dikritisi, MBG, KDMP, dll. Sebagai garda terdepan marketing negara (yg rela dimaki2 Wajib Pajak) untuk mendapatkan pendapatan negara, ikut sebel gak? Atau yauda terserah karena gaji uda gedhe?
Kan biasanya marketing marah2 kalo orang produksi gak bener, jadi susah cari klien lagi.</t>
  </si>
  <si>
    <t xml:space="preserve">okto_handoko</t>
  </si>
  <si>
    <t xml:space="preserve">Dari pada buat bayar pajak, trus duitnya d pake foya2 pejabat, buat d korup pejabat MBG, buat jajan pejabat KDMP, mending gw ga usah bayar pajak…</t>
  </si>
  <si>
    <t xml:space="preserve">yosaok_id</t>
  </si>
  <si>
    <t xml:space="preserve">Ironi hidup di negara yang sumber utama penghasilannya dari "malak" rakyat lewat pajak:
​Gaji turun? Langsung dipotong pajak (PPh).
​Sisa gaji buat belanja? Kena PPN 11%.
​Makan di resto? Kena Pajak
​Punya kendaraan? Bayar pajak, pake sisa gaji yang sdh bersih dr pajak.
​Punya rumah? Bayar PBB.</t>
  </si>
  <si>
    <t xml:space="preserve">aldiaan</t>
  </si>
  <si>
    <t xml:space="preserve">Tahun ini sebagai entrepreneur FULL dibikin ribet sama pemerintah perkara tetek bengek administasi perpajakan. Maret diribetin coretax, Juli urus surat pernyataan Shopee. Negara ribet meres uang rakyat segininya demi penerimaan pajak, tapi buat MBG &amp; Kopdes duitnya dihambur-hamburkan.</t>
  </si>
  <si>
    <t xml:space="preserve">yuliustr_</t>
  </si>
  <si>
    <t xml:space="preserve">Gimana ga makin betah tinggal di negara ini.
- Bayar pajak pakai uang sendiri dan wajib lapor sendiri 
- Gaji dipotong pajak tiap bulanya, pas mau pencairan JHT di potong pajak juga wedew
- Mau beli bahan bakar di pom wajib sertakan STNK yg sudah bayar pajak, kalau nunggak ga di layanin.
- MBG luar biasa program yang mensejaterakan siapa ?
- Merah Putih sudahlah.</t>
  </si>
  <si>
    <t xml:space="preserve">chronolover</t>
  </si>
  <si>
    <t xml:space="preserve">Kalomat yg adem saat menghadapi pemeriksaan adalah… “kami ingin menguji kepatuhan pajak” 
.
😤😤😤😤😤😤
Hampir gua nyolot…. Bangkeeee duit pajak dipake bancakan kita mau menguji pemakaian duitnya gimanaaa caranyaaa coeq???
Jangan ada yg nanya apa kontribusi gua ke negara…. Tahun lalu gua bayar pajak setara J5 2 biji… mungkin sebagian anggap itu kecil… tapi gua gak rela pajak segede itu dipake untuk MBG atau kopdes atau jalan2 bini mentri PU pake helikopter atau kegiatan bulshitt lainnya</t>
  </si>
  <si>
    <t xml:space="preserve">zoevana</t>
  </si>
  <si>
    <t xml:space="preserve">crab mentality di indonesia beneran nyata sih. 
kemarin aku bagiin POV ku tentang aku PKP dari tahun 2022, udah bayar ppn 11% dari bruto semua transaksi toko onlineku. aku jujur, transparan, sesuai data di toko, biar terhindar dari SP2DK. 
tau apa yang terjadi? 
aku live jualan di spam katanya dukung korupsi.
upload video dibilang mendukung MBG.
diajak buat berhenti bayar pajak. 
Aku juga kesel korupsi, tp pajak kewajiban. mau tinggal di eropa jg bayar pajak. 
Mau usaha maju ya bayar pajak.</t>
  </si>
  <si>
    <t xml:space="preserve">UJI KEANDALAN AWAL</t>
  </si>
  <si>
    <t xml:space="preserve">Uji awal (pilot) sesuai Neuendorf (2017): dikerjakan SETELAH membaca buku kode dan SEBELUM pengodean penuh dimulai. 40 unit dipilih acak dari 264 baris. Dua pelabel mengisi kolom masing-masing tanpa saling melihat. Bila hanya ada satu pelabel, isi kolom B pada hari berbeda tanpa melihat kolom A. Bila alpha di bawah 0,667, perbaiki buku kode dan ulangi.</t>
  </si>
  <si>
    <t xml:space="preserve">PELABEL A</t>
  </si>
  <si>
    <t xml:space="preserve">PELABEL B</t>
  </si>
  <si>
    <t xml:space="preserve">Terisi Pelabel A</t>
  </si>
  <si>
    <t xml:space="preserve">Terisi Pelabel B</t>
  </si>
  <si>
    <t xml:space="preserve">Sepakat (jumlah)</t>
  </si>
  <si>
    <t xml:space="preserve">Persen kesepakatan</t>
  </si>
  <si>
    <t xml:space="preserve">Persen kesepakatan di atas hanya untuk pemantauan cepat. Angka yang dilaporkan adalah Krippendorff's alpha, dihitung oleh notebook, karena persentase kesepakatan tidak mengoreksi kesepakatan yang terjadi secara kebetulan.</t>
  </si>
  <si>
    <t xml:space="preserve">UJI KEANDALAN AKHIR</t>
  </si>
  <si>
    <t xml:space="preserve">Uji akhir sesuai Neuendorf (2017): dikerjakan pada subsampel acak lain (50 unit) SELAMA atau SESUDAH pengodean penuh berjalan. Nilai alpha dari lembar inilah yang dilaporkan bersama hasil penelitian. Unit di sini tidak beririsan dengan unit pada uji awal.</t>
  </si>
  <si>
    <t xml:space="preserve">RINGKASAN PROSES PENGODEAN</t>
  </si>
  <si>
    <t xml:space="preserve">Progres pengodean</t>
  </si>
  <si>
    <t xml:space="preserve">Kategori</t>
  </si>
  <si>
    <t xml:space="preserve">Jumlah</t>
  </si>
  <si>
    <t xml:space="preserve">Persen</t>
  </si>
  <si>
    <t xml:space="preserve">Positif</t>
  </si>
  <si>
    <t xml:space="preserve">Negatif</t>
  </si>
  <si>
    <t xml:space="preserve">Netral</t>
  </si>
  <si>
    <t xml:space="preserve">Tidak Relevan</t>
  </si>
  <si>
    <t xml:space="preserve">Total sudah dikode</t>
  </si>
  <si>
    <t xml:space="preserve">Belum dikode</t>
  </si>
  <si>
    <t xml:space="preserve">Masuk data latih</t>
  </si>
  <si>
    <t xml:space="preserve">Kategori Tidak Relevan dikeluarkan dari data latih.</t>
  </si>
  <si>
    <t xml:space="preserve">Keandalan pengodean</t>
  </si>
  <si>
    <t xml:space="preserve">Uji</t>
  </si>
  <si>
    <t xml:space="preserve">Persen sepakat</t>
  </si>
  <si>
    <t xml:space="preserve">Alpha</t>
  </si>
  <si>
    <t xml:space="preserve">Keterangan</t>
  </si>
  <si>
    <t xml:space="preserve">Uji awal (pilot)</t>
  </si>
  <si>
    <t xml:space="preserve">Dihitung notebook</t>
  </si>
  <si>
    <t xml:space="preserve">Sebelum pengodean penuh dimulai</t>
  </si>
  <si>
    <t xml:space="preserve">Uji akhir</t>
  </si>
  <si>
    <t xml:space="preserve">Nilai inilah yang dilaporkan bersama hasil</t>
  </si>
  <si>
    <t xml:space="preserve">Ambang: alpha &gt;= 0,800 dapat diandalkan; 0,667–0,800 sementara; &lt; 0,667 belum layak.</t>
  </si>
  <si>
    <t xml:space="preserve">Perbandingan dengan label lama</t>
  </si>
  <si>
    <t xml:space="preserve">Label lama</t>
  </si>
  <si>
    <t xml:space="preserve">Label baru</t>
  </si>
  <si>
    <t xml:space="preserve">Label berubah</t>
  </si>
  <si>
    <t xml:space="preserve">Catatan pembersihan data</t>
  </si>
  <si>
    <t xml:space="preserve">Unit sampling awal</t>
  </si>
  <si>
    <t xml:space="preserve">Duplikat persis dibuang</t>
  </si>
  <si>
    <t xml:space="preserve">Unit unik untuk dikode</t>
  </si>
  <si>
    <t xml:space="preserve">Teks identik dengan label lama berbeda</t>
  </si>
  <si>
    <t xml:space="preserve">Label lama kosong atau tidak valid</t>
  </si>
  <si>
    <t xml:space="preserve">Unit tanpa tanggal valid</t>
  </si>
  <si>
    <t xml:space="preserve">Kolom Waktu dibuang: 264 dari 289 baris kosong.</t>
  </si>
  <si>
    <t xml:space="preserve">No Asli Dibuang</t>
  </si>
  <si>
    <t xml:space="preserve">Digabung ke No</t>
  </si>
  <si>
    <t xml:space="preserve">Cuplikan Teks</t>
  </si>
  <si>
    <t xml:space="preserve">Beberapa hari ini rame diskusi soal STAN dan resign dari PNS. Saya juga alumnus STAN, pernah bekerja di birokrasi yaitu DJP, dan resign 2010. Kuliah di STAN memang bukan pilihan utama, tapi realistis </t>
  </si>
  <si>
    <t xml:space="preserve">Bentar..bentar.. Kalo dipikir logikanya, kita yang kerja, kita yang bayar pajak. Trus kita juga yang harus ribet ngelaporin. Harusnya pemerintah ga sih yg laporan ke kita, pajak yang uda kita sumbang </t>
  </si>
  <si>
    <t xml:space="preserve">To the point aja ya warga thread,
Saya penyuluh pajak di salah satu KPP Jakarta.
Feel Free dan For Free alias GRATIS.
Bagi yg masih bingung masalah per-coretax-an, termasuk cara Lapor SPT, boleh tanya</t>
  </si>
  <si>
    <t xml:space="preserve">serius nanya. aku abis dikasih tau petugas pajak kalo mending wajib pajak nya di non aktifkan aja (soalnya cuma buat aff). biar gausah repot lapor tiap tahun. nah mau tanya kalo di non aktifkan gitu, </t>
  </si>
  <si>
    <t xml:space="preserve">Lagi rame berita Kanwil DJP Jaksel baru aja blokir rekening bank milik 57 wajib pajak. Total saldo yang ketahan di bank nggak main main, tembus 80 miliar rupiah. Banyak pengusaha yang kaget kok bisa k</t>
  </si>
  <si>
    <t xml:space="preserve">1/ Konflik kepentingan di DJP &amp; KPP udah di level memprihatinkan. Temen gua eks KPP cerita: banyak petugas pajak yang… istrinya ternyata konsultan pajak. Kebayang gak? Di satu sisi dia punya power, di</t>
  </si>
  <si>
    <t xml:space="preserve">Kalau sesuai hadist:
Pegawai DJP dan bea cukai tidak akan masuk surga</t>
  </si>
  <si>
    <t xml:space="preserve">Beberapa hari ini dapet DM dr temen2 internal DJP karena postingan saya seputar edukasi pajak muncul di akun mereka. Rata2 menyemangati karena memang ngga banyak pegawai DJP yg nekat muncul di medsos,</t>
  </si>
  <si>
    <t xml:space="preserve">Tugas DJP tu skrg sulit ya
Pajak dan kerelaan org bayar pajak makin tergerus akibat oknum2 yg menggunakan uang pajak rakyat serampangan
Gimana org mau rela bayar pajak kalau gak ada lagi trust yg terc</t>
  </si>
  <si>
    <t xml:space="preserve">Dulu, suami adalah pegawai Kemen*** D*P dengan THP 2 digit. Setelah 14 tahun, akhirnya memutuskan untuk mengundurkan diri dengan hormat setelah maju mundur, beberapa kali mengambil cuti. Waktu itu, ru</t>
  </si>
  <si>
    <t xml:space="preserve">Hampir mustahil sih….
Gaji pegawai djp tinggi itu tujuannya mencegah brain drain supaya pegawainya ngga pada kabur jadi konsultan, pindah jadi tax manager persh swasta, atau pindah ke pemda yg ga tera</t>
  </si>
  <si>
    <t xml:space="preserve">Gaji pegawai DJP itu gak setinggi yg kt bayangin, termasuk tinggi memang dibanding banyak instansi yang lain, tapi gak sampai buat diri lu jadi auto sultan dsb
untuk level staff, gaji mereka dibawah P</t>
  </si>
  <si>
    <t xml:space="preserve">Punya sepupu ASN di Kementerian eselon yang katanya THP paling tinggi se Indonesia. Usia 34thn udah Kepala Seksi, sering dapat penghargaan (gak pernah di post di sosmed taunya dari tante yg post di gr</t>
  </si>
  <si>
    <t xml:space="preserve">Yang paling aman itu justru yang tidak punya NPWP.. Mereka tidak membayar pajak sama sekali dan tidak dipusingkan oleh pajak padahal tetangga ku online Shopee perbulan milyaran omset nya tetapi tidak </t>
  </si>
  <si>
    <t xml:space="preserve">Hari ini di DJP ada pelantikan atas promosi/mutasi pejabat eselon IV.
Saya lihat daftarnya, ada beberapa AR yang dipromosikan dengan lokasi penempatan yang relatif jauh, misalnya dari Jakarta ke Atamb</t>
  </si>
  <si>
    <t xml:space="preserve">pertama mau disclaimer no offense yak
itu yg kerja di DJP mau sebagai AR atau apalah, kan mereka punya KPI atau target untuk pemasukan ke negara, kurang lebih seperti sales gak sih ? kan sama” harus a</t>
  </si>
  <si>
    <t xml:space="preserve">Hari ini kantor disamperin tim Kepatuhan DJP. Bukan mau meriksa, tapi mau memastikan kalau proses pencairan Lebih Bayar (Restitusi) atas pemeriksaan 2024 kemarin berjalan 100% bersih tanpa ada oknum y</t>
  </si>
  <si>
    <t xml:space="preserve">Percayalah setelah kalian punya PT sendiri baru tau betapa kejam nya pemerintah narikin pajak kita 🥹🥹 Bener bener semua harus di pajakin 😭😭</t>
  </si>
  <si>
    <t xml:space="preserve">KPP sekarang lagi galak2 ya, baru aja cair atas LB SPT 2024 eh udah dapet SP2DK atas 2 tahun dan lampirannya banyak banget udah kaya lagi diperiksa 🥲🥲
Ya tuhan mana minta ekualisasi, rincian dan bukti</t>
  </si>
  <si>
    <t xml:space="preserve">Rasanya pemerentah skrg klo bikin kebijakan pajak grusa grusu ya, ttg coretax, pmk ppn dtp, trs ini peraturan pajak marketplace. Perasaan dulu waktu ppn naik 1 persen ga se grusa grusu ini deh. Ada so</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</si>
</sst>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sz val="10"/>
      <name val="Noto Sans CJK SC"/>
      <family val="2"/>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8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2"/>
  </cols>
  <sheetData>
    <row r="1" customFormat="false" ht="17.35" hidden="false" customHeight="false" outlineLevel="0" collapsed="false">
      <c r="B1" s="1" t="s">
        <v>0</v>
      </c>
      <c r="C1" s="1"/>
    </row>
    <row r="3" customFormat="false" ht="51" hidden="false" customHeight="true" outlineLevel="0" collapsed="false">
      <c r="B3" s="2" t="s">
        <v>1</v>
      </c>
      <c r="C3" s="2"/>
    </row>
    <row r="5" customFormat="false" ht="15" hidden="false" customHeight="false" outlineLevel="0" collapsed="false">
      <c r="B5" s="3" t="s">
        <v>2</v>
      </c>
      <c r="C5" s="3"/>
    </row>
    <row r="6" customFormat="false" ht="25.5" hidden="false" customHeight="true" outlineLevel="0" collapsed="false">
      <c r="B6" s="2" t="s">
        <v>3</v>
      </c>
      <c r="C6" s="2"/>
    </row>
    <row r="7" customFormat="false" ht="25.5" hidden="false" customHeight="true" outlineLevel="0" collapsed="false">
      <c r="B7" s="4" t="s">
        <v>4</v>
      </c>
      <c r="C7" s="5" t="s">
        <v>5</v>
      </c>
    </row>
    <row r="8" customFormat="false" ht="25.5" hidden="false" customHeight="true" outlineLevel="0" collapsed="false">
      <c r="B8" s="4" t="s">
        <v>6</v>
      </c>
      <c r="C8" s="5" t="s">
        <v>7</v>
      </c>
    </row>
    <row r="9" customFormat="false" ht="38.25" hidden="false" customHeight="true" outlineLevel="0" collapsed="false">
      <c r="B9" s="4" t="s">
        <v>8</v>
      </c>
      <c r="C9" s="5" t="s">
        <v>9</v>
      </c>
    </row>
    <row r="10" customFormat="false" ht="25.5" hidden="false" customHeight="true" outlineLevel="0" collapsed="false">
      <c r="B10" s="4" t="s">
        <v>10</v>
      </c>
      <c r="C10" s="5" t="s">
        <v>11</v>
      </c>
    </row>
    <row r="12" customFormat="false" ht="15" hidden="false" customHeight="false" outlineLevel="0" collapsed="false">
      <c r="B12" s="3" t="s">
        <v>12</v>
      </c>
      <c r="C12" s="3"/>
    </row>
    <row r="13" customFormat="false" ht="25.5" hidden="false" customHeight="true" outlineLevel="0" collapsed="false">
      <c r="B13" s="2" t="s">
        <v>13</v>
      </c>
      <c r="C13" s="2"/>
    </row>
    <row r="14" customFormat="false" ht="15" hidden="false" customHeight="true" outlineLevel="0" collapsed="false">
      <c r="B14" s="4" t="s">
        <v>14</v>
      </c>
      <c r="C14" s="5" t="s">
        <v>15</v>
      </c>
    </row>
    <row r="15" customFormat="false" ht="38.25" hidden="false" customHeight="true" outlineLevel="0" collapsed="false">
      <c r="B15" s="4" t="s">
        <v>16</v>
      </c>
      <c r="C15" s="5" t="s">
        <v>17</v>
      </c>
    </row>
    <row r="16" customFormat="false" ht="25.5" hidden="false" customHeight="true" outlineLevel="0" collapsed="false">
      <c r="B16" s="4" t="s">
        <v>18</v>
      </c>
      <c r="C16" s="5" t="s">
        <v>19</v>
      </c>
    </row>
    <row r="17" customFormat="false" ht="25.5" hidden="false" customHeight="true" outlineLevel="0" collapsed="false">
      <c r="B17" s="4" t="s">
        <v>20</v>
      </c>
      <c r="C17" s="5" t="s">
        <v>21</v>
      </c>
    </row>
    <row r="18" customFormat="false" ht="15" hidden="false" customHeight="true" outlineLevel="0" collapsed="false">
      <c r="B18" s="4" t="s">
        <v>22</v>
      </c>
      <c r="C18" s="5" t="s">
        <v>23</v>
      </c>
    </row>
    <row r="19" customFormat="false" ht="15" hidden="false" customHeight="true" outlineLevel="0" collapsed="false">
      <c r="B19" s="2"/>
      <c r="C19" s="2"/>
    </row>
    <row r="20" customFormat="false" ht="15" hidden="false" customHeight="true" outlineLevel="0" collapsed="false">
      <c r="B20" s="6" t="s">
        <v>24</v>
      </c>
      <c r="C20" s="6"/>
    </row>
    <row r="21" customFormat="false" ht="15" hidden="false" customHeight="true" outlineLevel="0" collapsed="false">
      <c r="B21" s="2" t="s">
        <v>25</v>
      </c>
      <c r="C21" s="2"/>
    </row>
    <row r="22" customFormat="false" ht="25.5" hidden="false" customHeight="true" outlineLevel="0" collapsed="false">
      <c r="B22" s="4" t="s">
        <v>26</v>
      </c>
      <c r="C22" s="5" t="s">
        <v>27</v>
      </c>
    </row>
    <row r="23" customFormat="false" ht="25.5" hidden="false" customHeight="true" outlineLevel="0" collapsed="false">
      <c r="B23" s="4" t="s">
        <v>28</v>
      </c>
      <c r="C23" s="5" t="s">
        <v>29</v>
      </c>
    </row>
    <row r="24" customFormat="false" ht="25.5" hidden="false" customHeight="true" outlineLevel="0" collapsed="false">
      <c r="B24" s="4" t="s">
        <v>30</v>
      </c>
      <c r="C24" s="5" t="s">
        <v>31</v>
      </c>
    </row>
    <row r="25" customFormat="false" ht="25.5" hidden="false" customHeight="true" outlineLevel="0" collapsed="false">
      <c r="B25" s="2" t="s">
        <v>32</v>
      </c>
      <c r="C25" s="2"/>
    </row>
    <row r="26" customFormat="false" ht="15" hidden="false" customHeight="true" outlineLevel="0" collapsed="false">
      <c r="B26" s="2"/>
      <c r="C26" s="2"/>
    </row>
    <row r="27" customFormat="false" ht="15" hidden="false" customHeight="true" outlineLevel="0" collapsed="false">
      <c r="B27" s="6" t="s">
        <v>33</v>
      </c>
      <c r="C27" s="6"/>
    </row>
    <row r="28" customFormat="false" ht="25.5" hidden="false" customHeight="true" outlineLevel="0" collapsed="false">
      <c r="B28" s="4" t="s">
        <v>34</v>
      </c>
      <c r="C28" s="5" t="s">
        <v>35</v>
      </c>
    </row>
    <row r="29" customFormat="false" ht="25.5" hidden="false" customHeight="true" outlineLevel="0" collapsed="false">
      <c r="B29" s="4" t="s">
        <v>36</v>
      </c>
      <c r="C29" s="5" t="s">
        <v>37</v>
      </c>
    </row>
    <row r="30" customFormat="false" ht="51" hidden="false" customHeight="true" outlineLevel="0" collapsed="false">
      <c r="B30" s="4" t="s">
        <v>38</v>
      </c>
      <c r="C30" s="5" t="s">
        <v>39</v>
      </c>
    </row>
    <row r="31" customFormat="false" ht="25.5" hidden="false" customHeight="true" outlineLevel="0" collapsed="false">
      <c r="B31" s="4" t="s">
        <v>40</v>
      </c>
      <c r="C31" s="5" t="s">
        <v>41</v>
      </c>
    </row>
    <row r="32" customFormat="false" ht="25.5" hidden="false" customHeight="true" outlineLevel="0" collapsed="false">
      <c r="B32" s="2" t="s">
        <v>42</v>
      </c>
      <c r="C32" s="2"/>
    </row>
    <row r="33" customFormat="false" ht="15" hidden="false" customHeight="true" outlineLevel="0" collapsed="false">
      <c r="B33" s="2"/>
      <c r="C33" s="2"/>
    </row>
    <row r="34" customFormat="false" ht="15" hidden="false" customHeight="true" outlineLevel="0" collapsed="false">
      <c r="B34" s="6" t="s">
        <v>43</v>
      </c>
      <c r="C34" s="6"/>
    </row>
    <row r="35" customFormat="false" ht="63.75" hidden="false" customHeight="true" outlineLevel="0" collapsed="false">
      <c r="B35" s="2" t="s">
        <v>44</v>
      </c>
      <c r="C35" s="2"/>
    </row>
    <row r="37" customFormat="false" ht="15" hidden="false" customHeight="false" outlineLevel="0" collapsed="false">
      <c r="B37" s="3" t="s">
        <v>45</v>
      </c>
      <c r="C37" s="3"/>
    </row>
    <row r="38" customFormat="false" ht="15" hidden="false" customHeight="true" outlineLevel="0" collapsed="false">
      <c r="B38" s="2" t="s">
        <v>46</v>
      </c>
      <c r="C38" s="2"/>
    </row>
    <row r="39" customFormat="false" ht="25.5" hidden="false" customHeight="true" outlineLevel="0" collapsed="false">
      <c r="B39" s="4" t="s">
        <v>47</v>
      </c>
      <c r="C39" s="5" t="s">
        <v>48</v>
      </c>
    </row>
    <row r="40" customFormat="false" ht="15" hidden="false" customHeight="true" outlineLevel="0" collapsed="false">
      <c r="B40" s="4" t="s">
        <v>49</v>
      </c>
      <c r="C40" s="5" t="s">
        <v>50</v>
      </c>
    </row>
    <row r="41" customFormat="false" ht="15" hidden="false" customHeight="true" outlineLevel="0" collapsed="false">
      <c r="B41" s="4" t="s">
        <v>51</v>
      </c>
      <c r="C41" s="5" t="s">
        <v>52</v>
      </c>
    </row>
    <row r="42" customFormat="false" ht="15" hidden="false" customHeight="true" outlineLevel="0" collapsed="false">
      <c r="B42" s="2"/>
      <c r="C42" s="2"/>
    </row>
    <row r="43" customFormat="false" ht="15" hidden="false" customHeight="true" outlineLevel="0" collapsed="false">
      <c r="B43" s="6" t="s">
        <v>53</v>
      </c>
      <c r="C43" s="6"/>
    </row>
    <row r="44" customFormat="false" ht="63.75" hidden="false" customHeight="true" outlineLevel="0" collapsed="false">
      <c r="B44" s="4" t="s">
        <v>54</v>
      </c>
      <c r="C44" s="5" t="s">
        <v>55</v>
      </c>
    </row>
    <row r="45" customFormat="false" ht="51" hidden="false" customHeight="true" outlineLevel="0" collapsed="false">
      <c r="B45" s="4" t="s">
        <v>56</v>
      </c>
      <c r="C45" s="5" t="s">
        <v>57</v>
      </c>
    </row>
    <row r="46" customFormat="false" ht="15" hidden="false" customHeight="true" outlineLevel="0" collapsed="false">
      <c r="B46" s="4" t="s">
        <v>58</v>
      </c>
      <c r="C46" s="5" t="s">
        <v>59</v>
      </c>
    </row>
    <row r="47" customFormat="false" ht="38.25" hidden="false" customHeight="true" outlineLevel="0" collapsed="false">
      <c r="B47" s="4" t="s">
        <v>60</v>
      </c>
      <c r="C47" s="5" t="s">
        <v>61</v>
      </c>
    </row>
    <row r="48" customFormat="false" ht="38.25" hidden="false" customHeight="true" outlineLevel="0" collapsed="false">
      <c r="B48" s="4" t="s">
        <v>62</v>
      </c>
      <c r="C48" s="5" t="s">
        <v>63</v>
      </c>
    </row>
    <row r="49" customFormat="false" ht="25.5" hidden="false" customHeight="true" outlineLevel="0" collapsed="false">
      <c r="B49" s="4" t="s">
        <v>64</v>
      </c>
      <c r="C49" s="5" t="s">
        <v>65</v>
      </c>
    </row>
    <row r="50" customFormat="false" ht="38.25" hidden="false" customHeight="true" outlineLevel="0" collapsed="false">
      <c r="B50" s="4" t="s">
        <v>66</v>
      </c>
      <c r="C50" s="5" t="s">
        <v>67</v>
      </c>
    </row>
    <row r="51" customFormat="false" ht="38.25" hidden="false" customHeight="true" outlineLevel="0" collapsed="false">
      <c r="B51" s="4" t="s">
        <v>68</v>
      </c>
      <c r="C51" s="5" t="s">
        <v>69</v>
      </c>
    </row>
    <row r="52" customFormat="false" ht="38.25" hidden="false" customHeight="true" outlineLevel="0" collapsed="false">
      <c r="B52" s="4" t="s">
        <v>70</v>
      </c>
      <c r="C52" s="5" t="s">
        <v>71</v>
      </c>
    </row>
    <row r="53" customFormat="false" ht="25.5" hidden="false" customHeight="true" outlineLevel="0" collapsed="false">
      <c r="B53" s="4" t="s">
        <v>72</v>
      </c>
      <c r="C53" s="5" t="s">
        <v>73</v>
      </c>
    </row>
    <row r="54" customFormat="false" ht="38.25" hidden="false" customHeight="true" outlineLevel="0" collapsed="false">
      <c r="B54" s="4" t="s">
        <v>74</v>
      </c>
      <c r="C54" s="5" t="s">
        <v>75</v>
      </c>
    </row>
    <row r="56" customFormat="false" ht="15" hidden="false" customHeight="false" outlineLevel="0" collapsed="false">
      <c r="B56" s="3" t="s">
        <v>76</v>
      </c>
      <c r="C56" s="3"/>
    </row>
    <row r="57" customFormat="false" ht="15" hidden="false" customHeight="true" outlineLevel="0" collapsed="false">
      <c r="B57" s="2" t="s">
        <v>77</v>
      </c>
      <c r="C57" s="2"/>
    </row>
    <row r="58" customFormat="false" ht="25.5" hidden="false" customHeight="true" outlineLevel="0" collapsed="false">
      <c r="B58" s="4" t="s">
        <v>34</v>
      </c>
      <c r="C58" s="5" t="s">
        <v>78</v>
      </c>
    </row>
    <row r="59" customFormat="false" ht="25.5" hidden="false" customHeight="true" outlineLevel="0" collapsed="false">
      <c r="B59" s="4" t="s">
        <v>34</v>
      </c>
      <c r="C59" s="5" t="s">
        <v>79</v>
      </c>
    </row>
    <row r="60" customFormat="false" ht="25.5" hidden="false" customHeight="true" outlineLevel="0" collapsed="false">
      <c r="B60" s="4" t="s">
        <v>36</v>
      </c>
      <c r="C60" s="5" t="s">
        <v>80</v>
      </c>
    </row>
    <row r="61" customFormat="false" ht="15" hidden="false" customHeight="true" outlineLevel="0" collapsed="false">
      <c r="B61" s="4" t="s">
        <v>36</v>
      </c>
      <c r="C61" s="5" t="s">
        <v>81</v>
      </c>
    </row>
    <row r="62" customFormat="false" ht="25.5" hidden="false" customHeight="true" outlineLevel="0" collapsed="false">
      <c r="B62" s="4" t="s">
        <v>36</v>
      </c>
      <c r="C62" s="5" t="s">
        <v>82</v>
      </c>
    </row>
    <row r="63" customFormat="false" ht="38.25" hidden="false" customHeight="true" outlineLevel="0" collapsed="false">
      <c r="B63" s="4" t="s">
        <v>38</v>
      </c>
      <c r="C63" s="5" t="s">
        <v>83</v>
      </c>
    </row>
    <row r="64" customFormat="false" ht="15" hidden="false" customHeight="true" outlineLevel="0" collapsed="false">
      <c r="B64" s="4" t="s">
        <v>38</v>
      </c>
      <c r="C64" s="5" t="s">
        <v>84</v>
      </c>
    </row>
    <row r="65" customFormat="false" ht="15" hidden="false" customHeight="true" outlineLevel="0" collapsed="false">
      <c r="B65" s="4" t="s">
        <v>38</v>
      </c>
      <c r="C65" s="5" t="s">
        <v>85</v>
      </c>
    </row>
    <row r="66" customFormat="false" ht="25.5" hidden="false" customHeight="true" outlineLevel="0" collapsed="false">
      <c r="B66" s="4" t="s">
        <v>38</v>
      </c>
      <c r="C66" s="5" t="s">
        <v>86</v>
      </c>
    </row>
    <row r="67" customFormat="false" ht="15" hidden="false" customHeight="true" outlineLevel="0" collapsed="false">
      <c r="B67" s="4" t="s">
        <v>40</v>
      </c>
      <c r="C67" s="5" t="s">
        <v>87</v>
      </c>
    </row>
    <row r="68" customFormat="false" ht="25.5" hidden="false" customHeight="true" outlineLevel="0" collapsed="false">
      <c r="B68" s="4" t="s">
        <v>40</v>
      </c>
      <c r="C68" s="5" t="s">
        <v>88</v>
      </c>
    </row>
    <row r="70" customFormat="false" ht="15" hidden="false" customHeight="false" outlineLevel="0" collapsed="false">
      <c r="B70" s="3" t="s">
        <v>89</v>
      </c>
      <c r="C70" s="3"/>
    </row>
    <row r="71" customFormat="false" ht="25.5" hidden="false" customHeight="true" outlineLevel="0" collapsed="false">
      <c r="B71" s="2" t="s">
        <v>90</v>
      </c>
      <c r="C71" s="2"/>
    </row>
    <row r="72" customFormat="false" ht="25.5" hidden="false" customHeight="true" outlineLevel="0" collapsed="false">
      <c r="B72" s="4" t="s">
        <v>91</v>
      </c>
      <c r="C72" s="5" t="s">
        <v>92</v>
      </c>
    </row>
    <row r="73" customFormat="false" ht="51" hidden="false" customHeight="true" outlineLevel="0" collapsed="false">
      <c r="B73" s="4" t="s">
        <v>93</v>
      </c>
      <c r="C73" s="5" t="s">
        <v>94</v>
      </c>
    </row>
    <row r="74" customFormat="false" ht="38.25" hidden="false" customHeight="true" outlineLevel="0" collapsed="false">
      <c r="B74" s="4" t="s">
        <v>95</v>
      </c>
      <c r="C74" s="5" t="s">
        <v>96</v>
      </c>
    </row>
    <row r="75" customFormat="false" ht="25.5" hidden="false" customHeight="true" outlineLevel="0" collapsed="false">
      <c r="B75" s="4" t="s">
        <v>97</v>
      </c>
      <c r="C75" s="5" t="s">
        <v>98</v>
      </c>
    </row>
    <row r="76" customFormat="false" ht="25.5" hidden="false" customHeight="true" outlineLevel="0" collapsed="false">
      <c r="B76" s="4" t="s">
        <v>99</v>
      </c>
      <c r="C76" s="5" t="s">
        <v>100</v>
      </c>
    </row>
    <row r="78" customFormat="false" ht="15" hidden="false" customHeight="false" outlineLevel="0" collapsed="false">
      <c r="B78" s="3" t="s">
        <v>101</v>
      </c>
      <c r="C78" s="3"/>
    </row>
    <row r="79" customFormat="false" ht="51" hidden="false" customHeight="true" outlineLevel="0" collapsed="false">
      <c r="B79" s="2" t="s">
        <v>102</v>
      </c>
      <c r="C79" s="2"/>
    </row>
    <row r="80" customFormat="false" ht="15" hidden="false" customHeight="true" outlineLevel="0" collapsed="false">
      <c r="B80" s="4" t="s">
        <v>103</v>
      </c>
      <c r="C80" s="5" t="s">
        <v>104</v>
      </c>
    </row>
    <row r="81" customFormat="false" ht="15" hidden="false" customHeight="true" outlineLevel="0" collapsed="false">
      <c r="B81" s="4" t="s">
        <v>105</v>
      </c>
      <c r="C81" s="5" t="s">
        <v>106</v>
      </c>
    </row>
    <row r="82" customFormat="false" ht="15" hidden="false" customHeight="true" outlineLevel="0" collapsed="false">
      <c r="B82" s="4" t="s">
        <v>107</v>
      </c>
      <c r="C82" s="5" t="s">
        <v>108</v>
      </c>
    </row>
    <row r="83" customFormat="false" ht="38.25" hidden="false" customHeight="true" outlineLevel="0" collapsed="false">
      <c r="B83" s="2" t="s">
        <v>109</v>
      </c>
      <c r="C83" s="2"/>
    </row>
    <row r="84" customFormat="false" ht="51" hidden="false" customHeight="true" outlineLevel="0" collapsed="false">
      <c r="B84" s="2" t="s">
        <v>110</v>
      </c>
      <c r="C84" s="2"/>
    </row>
    <row r="86" customFormat="false" ht="15" hidden="false" customHeight="false" outlineLevel="0" collapsed="false">
      <c r="B86" s="3" t="s">
        <v>111</v>
      </c>
      <c r="C86" s="3"/>
    </row>
    <row r="87" customFormat="false" ht="15" hidden="false" customHeight="true" outlineLevel="0" collapsed="false">
      <c r="B87" s="2" t="s">
        <v>112</v>
      </c>
      <c r="C87" s="2"/>
    </row>
    <row r="88" customFormat="false" ht="15" hidden="false" customHeight="true" outlineLevel="0" collapsed="false">
      <c r="B88" s="2" t="s">
        <v>113</v>
      </c>
      <c r="C88" s="2"/>
    </row>
    <row r="89" customFormat="false" ht="15" hidden="false" customHeight="true" outlineLevel="0" collapsed="false">
      <c r="B89" s="2" t="s">
        <v>114</v>
      </c>
      <c r="C89" s="2"/>
    </row>
  </sheetData>
  <mergeCells count="32">
    <mergeCell ref="B1:C1"/>
    <mergeCell ref="B3:C3"/>
    <mergeCell ref="B5:C5"/>
    <mergeCell ref="B6:C6"/>
    <mergeCell ref="B12:C12"/>
    <mergeCell ref="B13:C13"/>
    <mergeCell ref="B19:C19"/>
    <mergeCell ref="B20:C20"/>
    <mergeCell ref="B21:C21"/>
    <mergeCell ref="B25:C25"/>
    <mergeCell ref="B26:C26"/>
    <mergeCell ref="B27:C27"/>
    <mergeCell ref="B32:C32"/>
    <mergeCell ref="B33:C33"/>
    <mergeCell ref="B34:C34"/>
    <mergeCell ref="B35:C35"/>
    <mergeCell ref="B37:C37"/>
    <mergeCell ref="B38:C38"/>
    <mergeCell ref="B42:C42"/>
    <mergeCell ref="B43:C43"/>
    <mergeCell ref="B56:C56"/>
    <mergeCell ref="B57:C57"/>
    <mergeCell ref="B70:C70"/>
    <mergeCell ref="B71:C71"/>
    <mergeCell ref="B78:C78"/>
    <mergeCell ref="B79:C79"/>
    <mergeCell ref="B83:C83"/>
    <mergeCell ref="B84:C84"/>
    <mergeCell ref="B86:C86"/>
    <mergeCell ref="B87:C87"/>
    <mergeCell ref="B88:C88"/>
    <mergeCell ref="B89:C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8"/>
    <col collapsed="false" customWidth="true" hidden="false" outlineLevel="0" max="4" min="4" style="0" width="11"/>
    <col collapsed="false" customWidth="true" hidden="false" outlineLevel="0" max="5" min="5" style="0" width="84"/>
    <col collapsed="false" customWidth="true" hidden="false" outlineLevel="0" max="6" min="6" style="0" width="11"/>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26"/>
  </cols>
  <sheetData>
    <row r="1" customFormat="false" ht="31.5" hidden="false" customHeight="true" outlineLevel="0" collapsed="false">
      <c r="A1" s="7" t="s">
        <v>115</v>
      </c>
      <c r="B1" s="7" t="s">
        <v>116</v>
      </c>
      <c r="C1" s="7" t="s">
        <v>117</v>
      </c>
      <c r="D1" s="7" t="s">
        <v>118</v>
      </c>
      <c r="E1" s="7" t="s">
        <v>119</v>
      </c>
      <c r="F1" s="7" t="s">
        <v>120</v>
      </c>
      <c r="G1" s="7" t="s">
        <v>121</v>
      </c>
      <c r="H1" s="7" t="s">
        <v>122</v>
      </c>
      <c r="I1" s="7" t="s">
        <v>123</v>
      </c>
      <c r="J1" s="7" t="s">
        <v>124</v>
      </c>
    </row>
    <row r="2" customFormat="false" ht="75" hidden="false" customHeight="true" outlineLevel="0" collapsed="false">
      <c r="A2" s="8" t="n">
        <v>1</v>
      </c>
      <c r="B2" s="8" t="n">
        <v>1</v>
      </c>
      <c r="C2" s="9" t="s">
        <v>125</v>
      </c>
      <c r="D2" s="8" t="s">
        <v>126</v>
      </c>
      <c r="E2" s="9" t="s">
        <v>127</v>
      </c>
      <c r="F2" s="8" t="s">
        <v>128</v>
      </c>
      <c r="G2" s="8"/>
      <c r="H2" s="10"/>
      <c r="I2" s="10"/>
      <c r="J2" s="11"/>
    </row>
    <row r="3" customFormat="false" ht="87" hidden="false" customHeight="true" outlineLevel="0" collapsed="false">
      <c r="A3" s="8" t="n">
        <v>2</v>
      </c>
      <c r="B3" s="8" t="n">
        <v>2</v>
      </c>
      <c r="C3" s="9" t="s">
        <v>129</v>
      </c>
      <c r="D3" s="8" t="s">
        <v>130</v>
      </c>
      <c r="E3" s="9" t="s">
        <v>131</v>
      </c>
      <c r="F3" s="8" t="s">
        <v>132</v>
      </c>
      <c r="G3" s="8"/>
      <c r="H3" s="10"/>
      <c r="I3" s="10"/>
      <c r="J3" s="11"/>
    </row>
    <row r="4" customFormat="false" ht="75" hidden="false" customHeight="true" outlineLevel="0" collapsed="false">
      <c r="A4" s="8" t="n">
        <v>3</v>
      </c>
      <c r="B4" s="8" t="n">
        <v>3</v>
      </c>
      <c r="C4" s="9" t="s">
        <v>133</v>
      </c>
      <c r="D4" s="8" t="s">
        <v>134</v>
      </c>
      <c r="E4" s="9" t="s">
        <v>135</v>
      </c>
      <c r="F4" s="8" t="s">
        <v>132</v>
      </c>
      <c r="G4" s="8"/>
      <c r="H4" s="10"/>
      <c r="I4" s="10"/>
      <c r="J4" s="11"/>
    </row>
    <row r="5" customFormat="false" ht="159.75" hidden="false" customHeight="true" outlineLevel="0" collapsed="false">
      <c r="A5" s="8" t="n">
        <v>4</v>
      </c>
      <c r="B5" s="8" t="n">
        <v>4</v>
      </c>
      <c r="C5" s="9" t="s">
        <v>136</v>
      </c>
      <c r="D5" s="8" t="s">
        <v>137</v>
      </c>
      <c r="E5" s="9" t="s">
        <v>138</v>
      </c>
      <c r="F5" s="8" t="s">
        <v>128</v>
      </c>
      <c r="G5" s="8"/>
      <c r="H5" s="10"/>
      <c r="I5" s="10"/>
      <c r="J5" s="11"/>
    </row>
    <row r="6" customFormat="false" ht="137.25" hidden="false" customHeight="true" outlineLevel="0" collapsed="false">
      <c r="A6" s="8" t="n">
        <v>5</v>
      </c>
      <c r="B6" s="8" t="n">
        <v>5</v>
      </c>
      <c r="C6" s="9" t="s">
        <v>139</v>
      </c>
      <c r="D6" s="8" t="s">
        <v>140</v>
      </c>
      <c r="E6" s="9" t="s">
        <v>141</v>
      </c>
      <c r="F6" s="8" t="s">
        <v>142</v>
      </c>
      <c r="G6" s="8"/>
      <c r="H6" s="10"/>
      <c r="I6" s="10"/>
      <c r="J6" s="11"/>
    </row>
    <row r="7" customFormat="false" ht="49.5" hidden="false" customHeight="true" outlineLevel="0" collapsed="false">
      <c r="A7" s="8" t="n">
        <v>6</v>
      </c>
      <c r="B7" s="8" t="n">
        <v>6</v>
      </c>
      <c r="C7" s="9" t="s">
        <v>143</v>
      </c>
      <c r="D7" s="8" t="s">
        <v>144</v>
      </c>
      <c r="E7" s="9" t="s">
        <v>145</v>
      </c>
      <c r="F7" s="8" t="s">
        <v>132</v>
      </c>
      <c r="G7" s="8"/>
      <c r="H7" s="10"/>
      <c r="I7" s="10"/>
      <c r="J7" s="11"/>
    </row>
    <row r="8" customFormat="false" ht="37.5" hidden="false" customHeight="true" outlineLevel="0" collapsed="false">
      <c r="A8" s="8" t="n">
        <v>7</v>
      </c>
      <c r="B8" s="8" t="n">
        <v>7</v>
      </c>
      <c r="C8" s="9" t="s">
        <v>146</v>
      </c>
      <c r="D8" s="8" t="s">
        <v>147</v>
      </c>
      <c r="E8" s="9" t="s">
        <v>148</v>
      </c>
      <c r="F8" s="8" t="s">
        <v>128</v>
      </c>
      <c r="G8" s="8"/>
      <c r="H8" s="10"/>
      <c r="I8" s="10"/>
      <c r="J8" s="11"/>
    </row>
    <row r="9" customFormat="false" ht="75" hidden="false" customHeight="true" outlineLevel="0" collapsed="false">
      <c r="A9" s="8" t="n">
        <v>8</v>
      </c>
      <c r="B9" s="8" t="n">
        <v>8</v>
      </c>
      <c r="C9" s="9" t="s">
        <v>149</v>
      </c>
      <c r="D9" s="8" t="s">
        <v>150</v>
      </c>
      <c r="E9" s="9" t="s">
        <v>151</v>
      </c>
      <c r="F9" s="8" t="s">
        <v>128</v>
      </c>
      <c r="G9" s="8"/>
      <c r="H9" s="10"/>
      <c r="I9" s="10"/>
      <c r="J9" s="11"/>
    </row>
    <row r="10" customFormat="false" ht="75" hidden="false" customHeight="true" outlineLevel="0" collapsed="false">
      <c r="A10" s="8" t="n">
        <v>9</v>
      </c>
      <c r="B10" s="8" t="n">
        <v>9</v>
      </c>
      <c r="C10" s="9" t="s">
        <v>152</v>
      </c>
      <c r="D10" s="8" t="s">
        <v>153</v>
      </c>
      <c r="E10" s="9" t="s">
        <v>154</v>
      </c>
      <c r="F10" s="8" t="s">
        <v>142</v>
      </c>
      <c r="G10" s="8"/>
      <c r="H10" s="10"/>
      <c r="I10" s="10"/>
      <c r="J10" s="11"/>
    </row>
    <row r="11" customFormat="false" ht="75" hidden="false" customHeight="true" outlineLevel="0" collapsed="false">
      <c r="A11" s="8" t="n">
        <v>10</v>
      </c>
      <c r="B11" s="8" t="n">
        <v>10</v>
      </c>
      <c r="C11" s="9" t="s">
        <v>155</v>
      </c>
      <c r="D11" s="8" t="s">
        <v>156</v>
      </c>
      <c r="E11" s="9" t="s">
        <v>157</v>
      </c>
      <c r="F11" s="8" t="s">
        <v>132</v>
      </c>
      <c r="G11" s="8"/>
      <c r="H11" s="10"/>
      <c r="I11" s="10"/>
      <c r="J11" s="11"/>
    </row>
    <row r="12" customFormat="false" ht="24.75" hidden="false" customHeight="true" outlineLevel="0" collapsed="false">
      <c r="A12" s="8" t="n">
        <v>11</v>
      </c>
      <c r="B12" s="8" t="n">
        <v>11</v>
      </c>
      <c r="C12" s="9" t="s">
        <v>158</v>
      </c>
      <c r="D12" s="8" t="s">
        <v>159</v>
      </c>
      <c r="E12" s="9" t="s">
        <v>160</v>
      </c>
      <c r="F12" s="8" t="s">
        <v>142</v>
      </c>
      <c r="G12" s="8"/>
      <c r="H12" s="10"/>
      <c r="I12" s="10"/>
      <c r="J12" s="11"/>
    </row>
    <row r="13" customFormat="false" ht="62.25" hidden="false" customHeight="true" outlineLevel="0" collapsed="false">
      <c r="A13" s="8" t="n">
        <v>12</v>
      </c>
      <c r="B13" s="8" t="n">
        <v>12</v>
      </c>
      <c r="C13" s="9" t="s">
        <v>161</v>
      </c>
      <c r="D13" s="8" t="s">
        <v>162</v>
      </c>
      <c r="E13" s="9" t="s">
        <v>163</v>
      </c>
      <c r="F13" s="8" t="s">
        <v>132</v>
      </c>
      <c r="G13" s="8"/>
      <c r="H13" s="10"/>
      <c r="I13" s="10"/>
      <c r="J13" s="11"/>
    </row>
    <row r="14" customFormat="false" ht="37.5" hidden="false" customHeight="true" outlineLevel="0" collapsed="false">
      <c r="A14" s="8" t="n">
        <v>13</v>
      </c>
      <c r="B14" s="8" t="n">
        <v>13</v>
      </c>
      <c r="C14" s="9" t="s">
        <v>164</v>
      </c>
      <c r="D14" s="8" t="s">
        <v>165</v>
      </c>
      <c r="E14" s="9" t="s">
        <v>166</v>
      </c>
      <c r="F14" s="8" t="s">
        <v>132</v>
      </c>
      <c r="G14" s="12" t="s">
        <v>167</v>
      </c>
      <c r="H14" s="10"/>
      <c r="I14" s="10"/>
      <c r="J14" s="11"/>
    </row>
    <row r="15" customFormat="false" ht="24.75" hidden="false" customHeight="true" outlineLevel="0" collapsed="false">
      <c r="A15" s="8" t="n">
        <v>14</v>
      </c>
      <c r="B15" s="8" t="n">
        <v>14</v>
      </c>
      <c r="C15" s="9" t="s">
        <v>168</v>
      </c>
      <c r="D15" s="8"/>
      <c r="E15" s="9" t="s">
        <v>169</v>
      </c>
      <c r="F15" s="8" t="s">
        <v>128</v>
      </c>
      <c r="G15" s="8"/>
      <c r="H15" s="10"/>
      <c r="I15" s="10"/>
      <c r="J15" s="11"/>
    </row>
    <row r="16" customFormat="false" ht="37.5" hidden="false" customHeight="true" outlineLevel="0" collapsed="false">
      <c r="A16" s="8" t="n">
        <v>15</v>
      </c>
      <c r="B16" s="8" t="n">
        <v>15</v>
      </c>
      <c r="C16" s="9" t="s">
        <v>170</v>
      </c>
      <c r="D16" s="8"/>
      <c r="E16" s="9" t="s">
        <v>171</v>
      </c>
      <c r="F16" s="8" t="s">
        <v>142</v>
      </c>
      <c r="G16" s="8"/>
      <c r="H16" s="10"/>
      <c r="I16" s="10"/>
      <c r="J16" s="11"/>
    </row>
    <row r="17" customFormat="false" ht="24.75" hidden="false" customHeight="true" outlineLevel="0" collapsed="false">
      <c r="A17" s="8" t="n">
        <v>16</v>
      </c>
      <c r="B17" s="8" t="n">
        <v>16</v>
      </c>
      <c r="C17" s="9" t="s">
        <v>172</v>
      </c>
      <c r="D17" s="8" t="s">
        <v>173</v>
      </c>
      <c r="E17" s="9" t="s">
        <v>174</v>
      </c>
      <c r="F17" s="8" t="s">
        <v>128</v>
      </c>
      <c r="G17" s="8"/>
      <c r="H17" s="10"/>
      <c r="I17" s="10"/>
      <c r="J17" s="11"/>
    </row>
    <row r="18" customFormat="false" ht="87" hidden="false" customHeight="true" outlineLevel="0" collapsed="false">
      <c r="A18" s="8" t="n">
        <v>17</v>
      </c>
      <c r="B18" s="8" t="n">
        <v>17</v>
      </c>
      <c r="C18" s="9" t="s">
        <v>175</v>
      </c>
      <c r="D18" s="8" t="s">
        <v>176</v>
      </c>
      <c r="E18" s="9" t="s">
        <v>177</v>
      </c>
      <c r="F18" s="8" t="s">
        <v>132</v>
      </c>
      <c r="G18" s="8"/>
      <c r="H18" s="10"/>
      <c r="I18" s="10"/>
      <c r="J18" s="11"/>
    </row>
    <row r="19" customFormat="false" ht="37.5" hidden="false" customHeight="true" outlineLevel="0" collapsed="false">
      <c r="A19" s="8" t="n">
        <v>18</v>
      </c>
      <c r="B19" s="8" t="n">
        <v>18</v>
      </c>
      <c r="C19" s="9" t="s">
        <v>178</v>
      </c>
      <c r="D19" s="8" t="s">
        <v>179</v>
      </c>
      <c r="E19" s="9" t="s">
        <v>180</v>
      </c>
      <c r="F19" s="8" t="s">
        <v>142</v>
      </c>
      <c r="G19" s="8"/>
      <c r="H19" s="10"/>
      <c r="I19" s="10"/>
      <c r="J19" s="11"/>
    </row>
    <row r="20" customFormat="false" ht="49.5" hidden="false" customHeight="true" outlineLevel="0" collapsed="false">
      <c r="A20" s="8" t="n">
        <v>19</v>
      </c>
      <c r="B20" s="8" t="n">
        <v>19</v>
      </c>
      <c r="C20" s="9" t="s">
        <v>181</v>
      </c>
      <c r="D20" s="8" t="s">
        <v>182</v>
      </c>
      <c r="E20" s="9" t="s">
        <v>183</v>
      </c>
      <c r="F20" s="8" t="s">
        <v>142</v>
      </c>
      <c r="G20" s="8"/>
      <c r="H20" s="10"/>
      <c r="I20" s="10"/>
      <c r="J20" s="11"/>
    </row>
    <row r="21" customFormat="false" ht="75" hidden="false" customHeight="true" outlineLevel="0" collapsed="false">
      <c r="A21" s="8" t="n">
        <v>20</v>
      </c>
      <c r="B21" s="8" t="n">
        <v>20</v>
      </c>
      <c r="C21" s="9" t="s">
        <v>184</v>
      </c>
      <c r="D21" s="8" t="s">
        <v>185</v>
      </c>
      <c r="E21" s="9" t="s">
        <v>186</v>
      </c>
      <c r="F21" s="8" t="s">
        <v>128</v>
      </c>
      <c r="G21" s="8"/>
      <c r="H21" s="10"/>
      <c r="I21" s="10"/>
      <c r="J21" s="11"/>
    </row>
    <row r="22" customFormat="false" ht="24.75" hidden="false" customHeight="true" outlineLevel="0" collapsed="false">
      <c r="A22" s="8" t="n">
        <v>21</v>
      </c>
      <c r="B22" s="8" t="n">
        <v>21</v>
      </c>
      <c r="C22" s="9" t="s">
        <v>187</v>
      </c>
      <c r="D22" s="8" t="s">
        <v>188</v>
      </c>
      <c r="E22" s="9" t="s">
        <v>189</v>
      </c>
      <c r="F22" s="8" t="s">
        <v>142</v>
      </c>
      <c r="G22" s="8"/>
      <c r="H22" s="10"/>
      <c r="I22" s="10"/>
      <c r="J22" s="11"/>
    </row>
    <row r="23" customFormat="false" ht="49.5" hidden="false" customHeight="true" outlineLevel="0" collapsed="false">
      <c r="A23" s="8" t="n">
        <v>22</v>
      </c>
      <c r="B23" s="8" t="n">
        <v>22</v>
      </c>
      <c r="C23" s="9" t="s">
        <v>190</v>
      </c>
      <c r="D23" s="8" t="s">
        <v>191</v>
      </c>
      <c r="E23" s="9" t="s">
        <v>192</v>
      </c>
      <c r="F23" s="8" t="s">
        <v>142</v>
      </c>
      <c r="G23" s="8"/>
      <c r="H23" s="10"/>
      <c r="I23" s="10"/>
      <c r="J23" s="11"/>
    </row>
    <row r="24" customFormat="false" ht="49.5" hidden="false" customHeight="true" outlineLevel="0" collapsed="false">
      <c r="A24" s="8" t="n">
        <v>23</v>
      </c>
      <c r="B24" s="8" t="n">
        <v>23</v>
      </c>
      <c r="C24" s="9" t="s">
        <v>193</v>
      </c>
      <c r="D24" s="8" t="s">
        <v>194</v>
      </c>
      <c r="E24" s="9" t="s">
        <v>195</v>
      </c>
      <c r="F24" s="8" t="s">
        <v>128</v>
      </c>
      <c r="G24" s="8"/>
      <c r="H24" s="10"/>
      <c r="I24" s="10"/>
      <c r="J24" s="11"/>
    </row>
    <row r="25" customFormat="false" ht="24.75" hidden="false" customHeight="true" outlineLevel="0" collapsed="false">
      <c r="A25" s="8" t="n">
        <v>24</v>
      </c>
      <c r="B25" s="8" t="n">
        <v>24</v>
      </c>
      <c r="C25" s="9" t="s">
        <v>196</v>
      </c>
      <c r="D25" s="8" t="s">
        <v>197</v>
      </c>
      <c r="E25" s="9" t="s">
        <v>198</v>
      </c>
      <c r="F25" s="8" t="s">
        <v>142</v>
      </c>
      <c r="G25" s="8"/>
      <c r="H25" s="10"/>
      <c r="I25" s="10"/>
      <c r="J25" s="11"/>
    </row>
    <row r="26" customFormat="false" ht="75" hidden="false" customHeight="true" outlineLevel="0" collapsed="false">
      <c r="A26" s="8" t="n">
        <v>25</v>
      </c>
      <c r="B26" s="8" t="n">
        <v>25</v>
      </c>
      <c r="C26" s="9" t="s">
        <v>199</v>
      </c>
      <c r="D26" s="8" t="s">
        <v>200</v>
      </c>
      <c r="E26" s="9" t="s">
        <v>201</v>
      </c>
      <c r="F26" s="8" t="s">
        <v>128</v>
      </c>
      <c r="G26" s="8"/>
      <c r="H26" s="10"/>
      <c r="I26" s="10"/>
      <c r="J26" s="11"/>
    </row>
    <row r="27" customFormat="false" ht="15" hidden="false" customHeight="true" outlineLevel="0" collapsed="false">
      <c r="A27" s="8" t="n">
        <v>26</v>
      </c>
      <c r="B27" s="8" t="n">
        <v>26</v>
      </c>
      <c r="C27" s="9" t="s">
        <v>202</v>
      </c>
      <c r="D27" s="8" t="s">
        <v>203</v>
      </c>
      <c r="E27" s="9" t="s">
        <v>204</v>
      </c>
      <c r="F27" s="8" t="s">
        <v>205</v>
      </c>
      <c r="G27" s="12" t="s">
        <v>167</v>
      </c>
      <c r="H27" s="10"/>
      <c r="I27" s="10"/>
      <c r="J27" s="11"/>
    </row>
    <row r="28" customFormat="false" ht="24.75" hidden="false" customHeight="true" outlineLevel="0" collapsed="false">
      <c r="A28" s="8" t="n">
        <v>27</v>
      </c>
      <c r="B28" s="8" t="n">
        <v>27</v>
      </c>
      <c r="C28" s="9" t="s">
        <v>206</v>
      </c>
      <c r="D28" s="8" t="s">
        <v>207</v>
      </c>
      <c r="E28" s="9" t="s">
        <v>208</v>
      </c>
      <c r="F28" s="8" t="s">
        <v>132</v>
      </c>
      <c r="G28" s="8"/>
      <c r="H28" s="10"/>
      <c r="I28" s="10"/>
      <c r="J28" s="11"/>
    </row>
    <row r="29" customFormat="false" ht="62.25" hidden="false" customHeight="true" outlineLevel="0" collapsed="false">
      <c r="A29" s="8" t="n">
        <v>28</v>
      </c>
      <c r="B29" s="8" t="n">
        <v>28</v>
      </c>
      <c r="C29" s="9" t="s">
        <v>209</v>
      </c>
      <c r="D29" s="8" t="s">
        <v>182</v>
      </c>
      <c r="E29" s="9" t="s">
        <v>210</v>
      </c>
      <c r="F29" s="8" t="s">
        <v>132</v>
      </c>
      <c r="G29" s="8"/>
      <c r="H29" s="10"/>
      <c r="I29" s="10"/>
      <c r="J29" s="11"/>
    </row>
    <row r="30" customFormat="false" ht="87" hidden="false" customHeight="true" outlineLevel="0" collapsed="false">
      <c r="A30" s="8" t="n">
        <v>29</v>
      </c>
      <c r="B30" s="8" t="n">
        <v>29</v>
      </c>
      <c r="C30" s="9" t="s">
        <v>211</v>
      </c>
      <c r="D30" s="8" t="s">
        <v>182</v>
      </c>
      <c r="E30" s="9" t="s">
        <v>212</v>
      </c>
      <c r="F30" s="8" t="s">
        <v>128</v>
      </c>
      <c r="G30" s="12" t="s">
        <v>167</v>
      </c>
      <c r="H30" s="10"/>
      <c r="I30" s="10"/>
      <c r="J30" s="11"/>
    </row>
    <row r="31" customFormat="false" ht="49.5" hidden="false" customHeight="true" outlineLevel="0" collapsed="false">
      <c r="A31" s="8" t="n">
        <v>30</v>
      </c>
      <c r="B31" s="8" t="n">
        <v>30</v>
      </c>
      <c r="C31" s="9" t="s">
        <v>184</v>
      </c>
      <c r="D31" s="8" t="s">
        <v>213</v>
      </c>
      <c r="E31" s="9" t="s">
        <v>214</v>
      </c>
      <c r="F31" s="8" t="s">
        <v>128</v>
      </c>
      <c r="G31" s="12" t="s">
        <v>167</v>
      </c>
      <c r="H31" s="10"/>
      <c r="I31" s="10"/>
      <c r="J31" s="11"/>
    </row>
    <row r="32" customFormat="false" ht="62.25" hidden="false" customHeight="true" outlineLevel="0" collapsed="false">
      <c r="A32" s="8" t="n">
        <v>31</v>
      </c>
      <c r="B32" s="8" t="n">
        <v>31</v>
      </c>
      <c r="C32" s="9" t="s">
        <v>215</v>
      </c>
      <c r="D32" s="8" t="s">
        <v>216</v>
      </c>
      <c r="E32" s="9" t="s">
        <v>217</v>
      </c>
      <c r="F32" s="8" t="s">
        <v>132</v>
      </c>
      <c r="G32" s="8"/>
      <c r="H32" s="10"/>
      <c r="I32" s="10"/>
      <c r="J32" s="11"/>
    </row>
    <row r="33" customFormat="false" ht="24.75" hidden="false" customHeight="true" outlineLevel="0" collapsed="false">
      <c r="A33" s="8" t="n">
        <v>32</v>
      </c>
      <c r="B33" s="8" t="n">
        <v>32</v>
      </c>
      <c r="C33" s="9" t="s">
        <v>218</v>
      </c>
      <c r="D33" s="8" t="s">
        <v>150</v>
      </c>
      <c r="E33" s="9" t="s">
        <v>219</v>
      </c>
      <c r="F33" s="8" t="s">
        <v>132</v>
      </c>
      <c r="G33" s="8"/>
      <c r="H33" s="10"/>
      <c r="I33" s="10"/>
      <c r="J33" s="11"/>
    </row>
    <row r="34" customFormat="false" ht="75" hidden="false" customHeight="true" outlineLevel="0" collapsed="false">
      <c r="A34" s="8" t="n">
        <v>33</v>
      </c>
      <c r="B34" s="8" t="n">
        <v>33</v>
      </c>
      <c r="C34" s="9" t="s">
        <v>220</v>
      </c>
      <c r="D34" s="8" t="s">
        <v>150</v>
      </c>
      <c r="E34" s="9" t="s">
        <v>221</v>
      </c>
      <c r="F34" s="8" t="s">
        <v>128</v>
      </c>
      <c r="G34" s="8"/>
      <c r="H34" s="10"/>
      <c r="I34" s="10"/>
      <c r="J34" s="11"/>
    </row>
    <row r="35" customFormat="false" ht="24.75" hidden="false" customHeight="true" outlineLevel="0" collapsed="false">
      <c r="A35" s="8" t="n">
        <v>34</v>
      </c>
      <c r="B35" s="8" t="n">
        <v>34</v>
      </c>
      <c r="C35" s="9" t="s">
        <v>222</v>
      </c>
      <c r="D35" s="8" t="s">
        <v>223</v>
      </c>
      <c r="E35" s="9" t="s">
        <v>224</v>
      </c>
      <c r="F35" s="8" t="s">
        <v>132</v>
      </c>
      <c r="G35" s="8"/>
      <c r="H35" s="10"/>
      <c r="I35" s="10"/>
      <c r="J35" s="11"/>
    </row>
    <row r="36" customFormat="false" ht="37.5" hidden="false" customHeight="true" outlineLevel="0" collapsed="false">
      <c r="A36" s="8" t="n">
        <v>35</v>
      </c>
      <c r="B36" s="8" t="n">
        <v>35</v>
      </c>
      <c r="C36" s="9" t="s">
        <v>225</v>
      </c>
      <c r="D36" s="8" t="s">
        <v>226</v>
      </c>
      <c r="E36" s="9" t="s">
        <v>227</v>
      </c>
      <c r="F36" s="8" t="s">
        <v>132</v>
      </c>
      <c r="G36" s="8"/>
      <c r="H36" s="10"/>
      <c r="I36" s="10"/>
      <c r="J36" s="11"/>
    </row>
    <row r="37" customFormat="false" ht="62.25" hidden="false" customHeight="true" outlineLevel="0" collapsed="false">
      <c r="A37" s="8" t="n">
        <v>36</v>
      </c>
      <c r="B37" s="8" t="n">
        <v>36</v>
      </c>
      <c r="C37" s="9" t="s">
        <v>228</v>
      </c>
      <c r="D37" s="8"/>
      <c r="E37" s="9" t="s">
        <v>229</v>
      </c>
      <c r="F37" s="8" t="s">
        <v>128</v>
      </c>
      <c r="G37" s="8"/>
      <c r="H37" s="10"/>
      <c r="I37" s="10"/>
      <c r="J37" s="11"/>
    </row>
    <row r="38" customFormat="false" ht="15" hidden="false" customHeight="true" outlineLevel="0" collapsed="false">
      <c r="A38" s="8" t="n">
        <v>37</v>
      </c>
      <c r="B38" s="8" t="n">
        <v>37</v>
      </c>
      <c r="C38" s="9" t="s">
        <v>230</v>
      </c>
      <c r="D38" s="8" t="s">
        <v>231</v>
      </c>
      <c r="E38" s="9" t="s">
        <v>232</v>
      </c>
      <c r="F38" s="8" t="s">
        <v>132</v>
      </c>
      <c r="G38" s="8"/>
      <c r="H38" s="10"/>
      <c r="I38" s="10"/>
      <c r="J38" s="11"/>
    </row>
    <row r="39" customFormat="false" ht="75" hidden="false" customHeight="true" outlineLevel="0" collapsed="false">
      <c r="A39" s="8" t="n">
        <v>38</v>
      </c>
      <c r="B39" s="8" t="n">
        <v>38</v>
      </c>
      <c r="C39" s="9" t="s">
        <v>233</v>
      </c>
      <c r="D39" s="8"/>
      <c r="E39" s="9" t="s">
        <v>234</v>
      </c>
      <c r="F39" s="8" t="s">
        <v>142</v>
      </c>
      <c r="G39" s="8"/>
      <c r="H39" s="10"/>
      <c r="I39" s="10"/>
      <c r="J39" s="11"/>
    </row>
    <row r="40" customFormat="false" ht="24.75" hidden="false" customHeight="true" outlineLevel="0" collapsed="false">
      <c r="A40" s="8" t="n">
        <v>39</v>
      </c>
      <c r="B40" s="8" t="n">
        <v>39</v>
      </c>
      <c r="C40" s="9" t="s">
        <v>235</v>
      </c>
      <c r="D40" s="8" t="s">
        <v>236</v>
      </c>
      <c r="E40" s="9" t="s">
        <v>237</v>
      </c>
      <c r="F40" s="8" t="s">
        <v>132</v>
      </c>
      <c r="G40" s="8"/>
      <c r="H40" s="10"/>
      <c r="I40" s="10"/>
      <c r="J40" s="11"/>
    </row>
    <row r="41" customFormat="false" ht="75" hidden="false" customHeight="true" outlineLevel="0" collapsed="false">
      <c r="A41" s="8" t="n">
        <v>40</v>
      </c>
      <c r="B41" s="8" t="n">
        <v>40</v>
      </c>
      <c r="C41" s="9" t="s">
        <v>184</v>
      </c>
      <c r="D41" s="8" t="s">
        <v>213</v>
      </c>
      <c r="E41" s="9" t="s">
        <v>238</v>
      </c>
      <c r="F41" s="8" t="s">
        <v>128</v>
      </c>
      <c r="G41" s="8"/>
      <c r="H41" s="10"/>
      <c r="I41" s="10"/>
      <c r="J41" s="11"/>
    </row>
    <row r="42" customFormat="false" ht="62.25" hidden="false" customHeight="true" outlineLevel="0" collapsed="false">
      <c r="A42" s="8" t="n">
        <v>41</v>
      </c>
      <c r="B42" s="8" t="n">
        <v>41</v>
      </c>
      <c r="C42" s="9" t="s">
        <v>239</v>
      </c>
      <c r="D42" s="8" t="s">
        <v>240</v>
      </c>
      <c r="E42" s="9" t="s">
        <v>241</v>
      </c>
      <c r="F42" s="8" t="s">
        <v>142</v>
      </c>
      <c r="G42" s="8"/>
      <c r="H42" s="10"/>
      <c r="I42" s="10"/>
      <c r="J42" s="11"/>
    </row>
    <row r="43" customFormat="false" ht="37.5" hidden="false" customHeight="true" outlineLevel="0" collapsed="false">
      <c r="A43" s="8" t="n">
        <v>42</v>
      </c>
      <c r="B43" s="8" t="n">
        <v>42</v>
      </c>
      <c r="C43" s="9" t="s">
        <v>211</v>
      </c>
      <c r="D43" s="8" t="s">
        <v>242</v>
      </c>
      <c r="E43" s="9" t="s">
        <v>243</v>
      </c>
      <c r="F43" s="8" t="s">
        <v>132</v>
      </c>
      <c r="G43" s="8"/>
      <c r="H43" s="10"/>
      <c r="I43" s="10"/>
      <c r="J43" s="11"/>
    </row>
    <row r="44" customFormat="false" ht="37.5" hidden="false" customHeight="true" outlineLevel="0" collapsed="false">
      <c r="A44" s="8" t="n">
        <v>43</v>
      </c>
      <c r="B44" s="8" t="n">
        <v>43</v>
      </c>
      <c r="C44" s="9"/>
      <c r="D44" s="8" t="s">
        <v>242</v>
      </c>
      <c r="E44" s="9" t="s">
        <v>244</v>
      </c>
      <c r="F44" s="8" t="s">
        <v>132</v>
      </c>
      <c r="G44" s="8"/>
      <c r="H44" s="10"/>
      <c r="I44" s="10"/>
      <c r="J44" s="11"/>
    </row>
    <row r="45" customFormat="false" ht="24.75" hidden="false" customHeight="true" outlineLevel="0" collapsed="false">
      <c r="A45" s="8" t="n">
        <v>44</v>
      </c>
      <c r="B45" s="8" t="n">
        <v>44</v>
      </c>
      <c r="C45" s="9" t="s">
        <v>245</v>
      </c>
      <c r="D45" s="8" t="s">
        <v>246</v>
      </c>
      <c r="E45" s="9" t="s">
        <v>247</v>
      </c>
      <c r="F45" s="8" t="s">
        <v>142</v>
      </c>
      <c r="G45" s="8"/>
      <c r="H45" s="10"/>
      <c r="I45" s="10"/>
      <c r="J45" s="11"/>
    </row>
    <row r="46" customFormat="false" ht="24.75" hidden="false" customHeight="true" outlineLevel="0" collapsed="false">
      <c r="A46" s="8" t="n">
        <v>45</v>
      </c>
      <c r="B46" s="8" t="n">
        <v>45</v>
      </c>
      <c r="C46" s="9" t="s">
        <v>248</v>
      </c>
      <c r="D46" s="8" t="s">
        <v>249</v>
      </c>
      <c r="E46" s="9" t="s">
        <v>250</v>
      </c>
      <c r="F46" s="8" t="s">
        <v>132</v>
      </c>
      <c r="G46" s="8"/>
      <c r="H46" s="10"/>
      <c r="I46" s="10"/>
      <c r="J46" s="11"/>
    </row>
    <row r="47" customFormat="false" ht="62.25" hidden="false" customHeight="true" outlineLevel="0" collapsed="false">
      <c r="A47" s="8" t="n">
        <v>46</v>
      </c>
      <c r="B47" s="8" t="n">
        <v>46</v>
      </c>
      <c r="C47" s="9" t="s">
        <v>149</v>
      </c>
      <c r="D47" s="8" t="s">
        <v>150</v>
      </c>
      <c r="E47" s="9" t="s">
        <v>251</v>
      </c>
      <c r="F47" s="8" t="s">
        <v>128</v>
      </c>
      <c r="G47" s="8"/>
      <c r="H47" s="10"/>
      <c r="I47" s="10"/>
      <c r="J47" s="11"/>
    </row>
    <row r="48" customFormat="false" ht="37.5" hidden="false" customHeight="true" outlineLevel="0" collapsed="false">
      <c r="A48" s="8" t="n">
        <v>47</v>
      </c>
      <c r="B48" s="8" t="n">
        <v>47</v>
      </c>
      <c r="C48" s="9" t="s">
        <v>252</v>
      </c>
      <c r="D48" s="8" t="s">
        <v>253</v>
      </c>
      <c r="E48" s="9" t="s">
        <v>254</v>
      </c>
      <c r="F48" s="8" t="s">
        <v>132</v>
      </c>
      <c r="G48" s="8"/>
      <c r="H48" s="10"/>
      <c r="I48" s="10"/>
      <c r="J48" s="11"/>
    </row>
    <row r="49" customFormat="false" ht="49.5" hidden="false" customHeight="true" outlineLevel="0" collapsed="false">
      <c r="A49" s="8" t="n">
        <v>48</v>
      </c>
      <c r="B49" s="8" t="n">
        <v>48</v>
      </c>
      <c r="C49" s="9" t="s">
        <v>255</v>
      </c>
      <c r="D49" s="8" t="s">
        <v>253</v>
      </c>
      <c r="E49" s="9" t="s">
        <v>256</v>
      </c>
      <c r="F49" s="8" t="s">
        <v>132</v>
      </c>
      <c r="G49" s="8"/>
      <c r="H49" s="10"/>
      <c r="I49" s="10"/>
      <c r="J49" s="11"/>
    </row>
    <row r="50" customFormat="false" ht="37.5" hidden="false" customHeight="true" outlineLevel="0" collapsed="false">
      <c r="A50" s="8" t="n">
        <v>49</v>
      </c>
      <c r="B50" s="8" t="n">
        <v>49</v>
      </c>
      <c r="C50" s="9" t="s">
        <v>257</v>
      </c>
      <c r="D50" s="8" t="s">
        <v>258</v>
      </c>
      <c r="E50" s="9" t="s">
        <v>259</v>
      </c>
      <c r="F50" s="8" t="s">
        <v>132</v>
      </c>
      <c r="G50" s="8"/>
      <c r="H50" s="10"/>
      <c r="I50" s="10"/>
      <c r="J50" s="11"/>
    </row>
    <row r="51" customFormat="false" ht="15" hidden="false" customHeight="true" outlineLevel="0" collapsed="false">
      <c r="A51" s="8" t="n">
        <v>50</v>
      </c>
      <c r="B51" s="8" t="n">
        <v>50</v>
      </c>
      <c r="C51" s="9" t="s">
        <v>230</v>
      </c>
      <c r="D51" s="8" t="s">
        <v>260</v>
      </c>
      <c r="E51" s="9" t="s">
        <v>261</v>
      </c>
      <c r="F51" s="8" t="s">
        <v>132</v>
      </c>
      <c r="G51" s="8"/>
      <c r="H51" s="10"/>
      <c r="I51" s="10"/>
      <c r="J51" s="11"/>
    </row>
    <row r="52" customFormat="false" ht="24.75" hidden="false" customHeight="true" outlineLevel="0" collapsed="false">
      <c r="A52" s="8" t="n">
        <v>51</v>
      </c>
      <c r="B52" s="8" t="n">
        <v>51</v>
      </c>
      <c r="C52" s="9" t="s">
        <v>262</v>
      </c>
      <c r="D52" s="8" t="s">
        <v>263</v>
      </c>
      <c r="E52" s="9" t="s">
        <v>264</v>
      </c>
      <c r="F52" s="8" t="s">
        <v>142</v>
      </c>
      <c r="G52" s="12" t="s">
        <v>167</v>
      </c>
      <c r="H52" s="10"/>
      <c r="I52" s="10"/>
      <c r="J52" s="11"/>
    </row>
    <row r="53" customFormat="false" ht="75" hidden="false" customHeight="true" outlineLevel="0" collapsed="false">
      <c r="A53" s="8" t="n">
        <v>52</v>
      </c>
      <c r="B53" s="8" t="n">
        <v>52</v>
      </c>
      <c r="C53" s="9" t="s">
        <v>265</v>
      </c>
      <c r="D53" s="8" t="s">
        <v>147</v>
      </c>
      <c r="E53" s="9" t="s">
        <v>266</v>
      </c>
      <c r="F53" s="8" t="s">
        <v>128</v>
      </c>
      <c r="G53" s="8"/>
      <c r="H53" s="10"/>
      <c r="I53" s="10"/>
      <c r="J53" s="11"/>
    </row>
    <row r="54" customFormat="false" ht="37.5" hidden="false" customHeight="true" outlineLevel="0" collapsed="false">
      <c r="A54" s="8" t="n">
        <v>53</v>
      </c>
      <c r="B54" s="8" t="n">
        <v>53</v>
      </c>
      <c r="C54" s="9" t="s">
        <v>267</v>
      </c>
      <c r="D54" s="8" t="s">
        <v>268</v>
      </c>
      <c r="E54" s="9" t="s">
        <v>269</v>
      </c>
      <c r="F54" s="8" t="s">
        <v>132</v>
      </c>
      <c r="G54" s="8"/>
      <c r="H54" s="10"/>
      <c r="I54" s="10"/>
      <c r="J54" s="11"/>
    </row>
    <row r="55" customFormat="false" ht="24.75" hidden="false" customHeight="true" outlineLevel="0" collapsed="false">
      <c r="A55" s="8" t="n">
        <v>54</v>
      </c>
      <c r="B55" s="8" t="n">
        <v>54</v>
      </c>
      <c r="C55" s="9" t="s">
        <v>270</v>
      </c>
      <c r="D55" s="8" t="s">
        <v>271</v>
      </c>
      <c r="E55" s="9" t="s">
        <v>272</v>
      </c>
      <c r="F55" s="8" t="s">
        <v>142</v>
      </c>
      <c r="G55" s="8"/>
      <c r="H55" s="10"/>
      <c r="I55" s="10"/>
      <c r="J55" s="11"/>
    </row>
    <row r="56" customFormat="false" ht="62.25" hidden="false" customHeight="true" outlineLevel="0" collapsed="false">
      <c r="A56" s="8" t="n">
        <v>55</v>
      </c>
      <c r="B56" s="8" t="n">
        <v>55</v>
      </c>
      <c r="C56" s="9" t="s">
        <v>225</v>
      </c>
      <c r="D56" s="8" t="s">
        <v>268</v>
      </c>
      <c r="E56" s="9" t="s">
        <v>273</v>
      </c>
      <c r="F56" s="8" t="s">
        <v>132</v>
      </c>
      <c r="G56" s="8"/>
      <c r="H56" s="10"/>
      <c r="I56" s="10"/>
      <c r="J56" s="11"/>
    </row>
    <row r="57" customFormat="false" ht="87" hidden="false" customHeight="true" outlineLevel="0" collapsed="false">
      <c r="A57" s="8" t="n">
        <v>56</v>
      </c>
      <c r="B57" s="8" t="n">
        <v>56</v>
      </c>
      <c r="C57" s="9" t="s">
        <v>274</v>
      </c>
      <c r="D57" s="8" t="s">
        <v>275</v>
      </c>
      <c r="E57" s="9" t="s">
        <v>276</v>
      </c>
      <c r="F57" s="8" t="s">
        <v>128</v>
      </c>
      <c r="G57" s="8"/>
      <c r="H57" s="10"/>
      <c r="I57" s="10"/>
      <c r="J57" s="11"/>
    </row>
    <row r="58" customFormat="false" ht="24.75" hidden="false" customHeight="true" outlineLevel="0" collapsed="false">
      <c r="A58" s="8" t="n">
        <v>57</v>
      </c>
      <c r="B58" s="8" t="n">
        <v>57</v>
      </c>
      <c r="C58" s="9" t="s">
        <v>277</v>
      </c>
      <c r="D58" s="8" t="s">
        <v>278</v>
      </c>
      <c r="E58" s="9" t="s">
        <v>279</v>
      </c>
      <c r="F58" s="8" t="s">
        <v>132</v>
      </c>
      <c r="G58" s="8"/>
      <c r="H58" s="10"/>
      <c r="I58" s="10"/>
      <c r="J58" s="11"/>
    </row>
    <row r="59" customFormat="false" ht="24.75" hidden="false" customHeight="true" outlineLevel="0" collapsed="false">
      <c r="A59" s="8" t="n">
        <v>58</v>
      </c>
      <c r="B59" s="8" t="n">
        <v>58</v>
      </c>
      <c r="C59" s="9" t="s">
        <v>280</v>
      </c>
      <c r="D59" s="8" t="s">
        <v>278</v>
      </c>
      <c r="E59" s="9" t="s">
        <v>281</v>
      </c>
      <c r="F59" s="8" t="s">
        <v>132</v>
      </c>
      <c r="G59" s="8"/>
      <c r="H59" s="10"/>
      <c r="I59" s="10"/>
      <c r="J59" s="11"/>
    </row>
    <row r="60" customFormat="false" ht="49.5" hidden="false" customHeight="true" outlineLevel="0" collapsed="false">
      <c r="A60" s="8" t="n">
        <v>59</v>
      </c>
      <c r="B60" s="8" t="n">
        <v>59</v>
      </c>
      <c r="C60" s="9" t="s">
        <v>282</v>
      </c>
      <c r="D60" s="8" t="s">
        <v>278</v>
      </c>
      <c r="E60" s="9" t="s">
        <v>283</v>
      </c>
      <c r="F60" s="8" t="s">
        <v>142</v>
      </c>
      <c r="G60" s="8"/>
      <c r="H60" s="10"/>
      <c r="I60" s="10"/>
      <c r="J60" s="11"/>
    </row>
    <row r="61" customFormat="false" ht="49.5" hidden="false" customHeight="true" outlineLevel="0" collapsed="false">
      <c r="A61" s="8" t="n">
        <v>60</v>
      </c>
      <c r="B61" s="8" t="n">
        <v>60</v>
      </c>
      <c r="C61" s="9" t="s">
        <v>155</v>
      </c>
      <c r="D61" s="8" t="s">
        <v>278</v>
      </c>
      <c r="E61" s="9" t="s">
        <v>284</v>
      </c>
      <c r="F61" s="8" t="s">
        <v>142</v>
      </c>
      <c r="G61" s="8"/>
      <c r="H61" s="10"/>
      <c r="I61" s="10"/>
      <c r="J61" s="11"/>
    </row>
    <row r="62" customFormat="false" ht="49.5" hidden="false" customHeight="true" outlineLevel="0" collapsed="false">
      <c r="A62" s="8" t="n">
        <v>61</v>
      </c>
      <c r="B62" s="8" t="n">
        <v>61</v>
      </c>
      <c r="C62" s="9" t="s">
        <v>285</v>
      </c>
      <c r="D62" s="8" t="s">
        <v>286</v>
      </c>
      <c r="E62" s="9" t="s">
        <v>287</v>
      </c>
      <c r="F62" s="8" t="s">
        <v>128</v>
      </c>
      <c r="G62" s="8"/>
      <c r="H62" s="10"/>
      <c r="I62" s="10"/>
      <c r="J62" s="11"/>
    </row>
    <row r="63" customFormat="false" ht="24.75" hidden="false" customHeight="true" outlineLevel="0" collapsed="false">
      <c r="A63" s="8" t="n">
        <v>62</v>
      </c>
      <c r="B63" s="8" t="n">
        <v>64</v>
      </c>
      <c r="C63" s="9" t="s">
        <v>248</v>
      </c>
      <c r="D63" s="8" t="s">
        <v>249</v>
      </c>
      <c r="E63" s="9" t="s">
        <v>288</v>
      </c>
      <c r="F63" s="8" t="s">
        <v>132</v>
      </c>
      <c r="G63" s="8"/>
      <c r="H63" s="10"/>
      <c r="I63" s="10"/>
      <c r="J63" s="11"/>
    </row>
    <row r="64" customFormat="false" ht="24.75" hidden="false" customHeight="true" outlineLevel="0" collapsed="false">
      <c r="A64" s="8" t="n">
        <v>63</v>
      </c>
      <c r="B64" s="8" t="n">
        <v>65</v>
      </c>
      <c r="C64" s="9" t="s">
        <v>289</v>
      </c>
      <c r="D64" s="8" t="s">
        <v>290</v>
      </c>
      <c r="E64" s="9" t="s">
        <v>291</v>
      </c>
      <c r="F64" s="8" t="s">
        <v>132</v>
      </c>
      <c r="G64" s="8"/>
      <c r="H64" s="10"/>
      <c r="I64" s="10"/>
      <c r="J64" s="11"/>
    </row>
    <row r="65" customFormat="false" ht="24.75" hidden="false" customHeight="true" outlineLevel="0" collapsed="false">
      <c r="A65" s="8" t="n">
        <v>64</v>
      </c>
      <c r="B65" s="8" t="n">
        <v>66</v>
      </c>
      <c r="C65" s="9" t="s">
        <v>267</v>
      </c>
      <c r="D65" s="8" t="s">
        <v>292</v>
      </c>
      <c r="E65" s="9" t="s">
        <v>293</v>
      </c>
      <c r="F65" s="8" t="s">
        <v>128</v>
      </c>
      <c r="G65" s="8"/>
      <c r="H65" s="10"/>
      <c r="I65" s="10"/>
      <c r="J65" s="11"/>
    </row>
    <row r="66" customFormat="false" ht="24.75" hidden="false" customHeight="true" outlineLevel="0" collapsed="false">
      <c r="A66" s="8" t="n">
        <v>65</v>
      </c>
      <c r="B66" s="8" t="n">
        <v>67</v>
      </c>
      <c r="C66" s="9" t="s">
        <v>133</v>
      </c>
      <c r="D66" s="8" t="s">
        <v>134</v>
      </c>
      <c r="E66" s="9" t="s">
        <v>294</v>
      </c>
      <c r="F66" s="8" t="s">
        <v>142</v>
      </c>
      <c r="G66" s="8"/>
      <c r="H66" s="10"/>
      <c r="I66" s="10"/>
      <c r="J66" s="11"/>
    </row>
    <row r="67" customFormat="false" ht="15" hidden="false" customHeight="true" outlineLevel="0" collapsed="false">
      <c r="A67" s="8" t="n">
        <v>66</v>
      </c>
      <c r="B67" s="8" t="n">
        <v>68</v>
      </c>
      <c r="C67" s="9" t="s">
        <v>295</v>
      </c>
      <c r="D67" s="8" t="s">
        <v>296</v>
      </c>
      <c r="E67" s="9" t="s">
        <v>297</v>
      </c>
      <c r="F67" s="8" t="s">
        <v>142</v>
      </c>
      <c r="G67" s="8"/>
      <c r="H67" s="10"/>
      <c r="I67" s="10"/>
      <c r="J67" s="11"/>
    </row>
    <row r="68" customFormat="false" ht="15" hidden="false" customHeight="true" outlineLevel="0" collapsed="false">
      <c r="A68" s="8" t="n">
        <v>67</v>
      </c>
      <c r="B68" s="8" t="n">
        <v>69</v>
      </c>
      <c r="C68" s="9" t="s">
        <v>245</v>
      </c>
      <c r="D68" s="8" t="s">
        <v>292</v>
      </c>
      <c r="E68" s="9" t="s">
        <v>298</v>
      </c>
      <c r="F68" s="8" t="s">
        <v>142</v>
      </c>
      <c r="G68" s="8"/>
      <c r="H68" s="10"/>
      <c r="I68" s="10"/>
      <c r="J68" s="11"/>
    </row>
    <row r="69" customFormat="false" ht="24.75" hidden="false" customHeight="true" outlineLevel="0" collapsed="false">
      <c r="A69" s="8" t="n">
        <v>68</v>
      </c>
      <c r="B69" s="8" t="n">
        <v>70</v>
      </c>
      <c r="C69" s="9" t="s">
        <v>170</v>
      </c>
      <c r="D69" s="8" t="s">
        <v>299</v>
      </c>
      <c r="E69" s="9" t="s">
        <v>300</v>
      </c>
      <c r="F69" s="8" t="s">
        <v>142</v>
      </c>
      <c r="G69" s="8"/>
      <c r="H69" s="10"/>
      <c r="I69" s="10"/>
      <c r="J69" s="11"/>
    </row>
    <row r="70" customFormat="false" ht="24.75" hidden="false" customHeight="true" outlineLevel="0" collapsed="false">
      <c r="A70" s="8" t="n">
        <v>69</v>
      </c>
      <c r="B70" s="8" t="n">
        <v>71</v>
      </c>
      <c r="C70" s="9" t="s">
        <v>301</v>
      </c>
      <c r="D70" s="8" t="s">
        <v>290</v>
      </c>
      <c r="E70" s="9" t="s">
        <v>302</v>
      </c>
      <c r="F70" s="8" t="s">
        <v>142</v>
      </c>
      <c r="G70" s="8"/>
      <c r="H70" s="10"/>
      <c r="I70" s="10"/>
      <c r="J70" s="11"/>
    </row>
    <row r="71" customFormat="false" ht="24.75" hidden="false" customHeight="true" outlineLevel="0" collapsed="false">
      <c r="A71" s="8" t="n">
        <v>70</v>
      </c>
      <c r="B71" s="8" t="n">
        <v>72</v>
      </c>
      <c r="C71" s="9" t="s">
        <v>303</v>
      </c>
      <c r="D71" s="8" t="s">
        <v>304</v>
      </c>
      <c r="E71" s="9" t="s">
        <v>305</v>
      </c>
      <c r="F71" s="8" t="s">
        <v>128</v>
      </c>
      <c r="G71" s="8"/>
      <c r="H71" s="10"/>
      <c r="I71" s="10"/>
      <c r="J71" s="11"/>
    </row>
    <row r="72" customFormat="false" ht="24.75" hidden="false" customHeight="true" outlineLevel="0" collapsed="false">
      <c r="A72" s="8" t="n">
        <v>71</v>
      </c>
      <c r="B72" s="8" t="n">
        <v>73</v>
      </c>
      <c r="C72" s="9" t="s">
        <v>181</v>
      </c>
      <c r="D72" s="8" t="s">
        <v>182</v>
      </c>
      <c r="E72" s="9" t="s">
        <v>306</v>
      </c>
      <c r="F72" s="8" t="s">
        <v>142</v>
      </c>
      <c r="G72" s="8"/>
      <c r="H72" s="10"/>
      <c r="I72" s="10"/>
      <c r="J72" s="11"/>
    </row>
    <row r="73" customFormat="false" ht="24.75" hidden="false" customHeight="true" outlineLevel="0" collapsed="false">
      <c r="A73" s="8" t="n">
        <v>72</v>
      </c>
      <c r="B73" s="8" t="n">
        <v>74</v>
      </c>
      <c r="C73" s="9" t="s">
        <v>307</v>
      </c>
      <c r="D73" s="8" t="s">
        <v>304</v>
      </c>
      <c r="E73" s="9" t="s">
        <v>308</v>
      </c>
      <c r="F73" s="8" t="s">
        <v>142</v>
      </c>
      <c r="G73" s="8"/>
      <c r="H73" s="10"/>
      <c r="I73" s="10"/>
      <c r="J73" s="11"/>
    </row>
    <row r="74" customFormat="false" ht="24.75" hidden="false" customHeight="true" outlineLevel="0" collapsed="false">
      <c r="A74" s="8" t="n">
        <v>73</v>
      </c>
      <c r="B74" s="8" t="n">
        <v>75</v>
      </c>
      <c r="C74" s="9" t="s">
        <v>181</v>
      </c>
      <c r="D74" s="8" t="s">
        <v>182</v>
      </c>
      <c r="E74" s="9" t="s">
        <v>309</v>
      </c>
      <c r="F74" s="8" t="s">
        <v>142</v>
      </c>
      <c r="G74" s="8"/>
      <c r="H74" s="10"/>
      <c r="I74" s="10"/>
      <c r="J74" s="11"/>
    </row>
    <row r="75" customFormat="false" ht="24.75" hidden="false" customHeight="true" outlineLevel="0" collapsed="false">
      <c r="A75" s="8" t="n">
        <v>74</v>
      </c>
      <c r="B75" s="8" t="n">
        <v>76</v>
      </c>
      <c r="C75" s="9" t="s">
        <v>245</v>
      </c>
      <c r="D75" s="8" t="s">
        <v>290</v>
      </c>
      <c r="E75" s="9" t="s">
        <v>310</v>
      </c>
      <c r="F75" s="8" t="s">
        <v>142</v>
      </c>
      <c r="G75" s="8"/>
      <c r="H75" s="10"/>
      <c r="I75" s="10"/>
      <c r="J75" s="11"/>
    </row>
    <row r="76" customFormat="false" ht="24.75" hidden="false" customHeight="true" outlineLevel="0" collapsed="false">
      <c r="A76" s="8" t="n">
        <v>75</v>
      </c>
      <c r="B76" s="8" t="n">
        <v>77</v>
      </c>
      <c r="C76" s="9" t="s">
        <v>301</v>
      </c>
      <c r="D76" s="8"/>
      <c r="E76" s="9" t="s">
        <v>311</v>
      </c>
      <c r="F76" s="8" t="s">
        <v>142</v>
      </c>
      <c r="G76" s="8"/>
      <c r="H76" s="10"/>
      <c r="I76" s="10"/>
      <c r="J76" s="11"/>
    </row>
    <row r="77" customFormat="false" ht="24.75" hidden="false" customHeight="true" outlineLevel="0" collapsed="false">
      <c r="A77" s="8" t="n">
        <v>76</v>
      </c>
      <c r="B77" s="8" t="n">
        <v>78</v>
      </c>
      <c r="C77" s="9" t="s">
        <v>312</v>
      </c>
      <c r="D77" s="8" t="s">
        <v>292</v>
      </c>
      <c r="E77" s="9" t="s">
        <v>313</v>
      </c>
      <c r="F77" s="8" t="s">
        <v>142</v>
      </c>
      <c r="G77" s="8"/>
      <c r="H77" s="10"/>
      <c r="I77" s="10"/>
      <c r="J77" s="11"/>
    </row>
    <row r="78" customFormat="false" ht="24.75" hidden="false" customHeight="true" outlineLevel="0" collapsed="false">
      <c r="A78" s="8" t="n">
        <v>77</v>
      </c>
      <c r="B78" s="8" t="n">
        <v>79</v>
      </c>
      <c r="C78" s="9" t="s">
        <v>233</v>
      </c>
      <c r="D78" s="8"/>
      <c r="E78" s="9" t="s">
        <v>314</v>
      </c>
      <c r="F78" s="8" t="s">
        <v>142</v>
      </c>
      <c r="G78" s="8"/>
      <c r="H78" s="10"/>
      <c r="I78" s="10"/>
      <c r="J78" s="11"/>
    </row>
    <row r="79" customFormat="false" ht="24.75" hidden="false" customHeight="true" outlineLevel="0" collapsed="false">
      <c r="A79" s="8" t="n">
        <v>78</v>
      </c>
      <c r="B79" s="8" t="n">
        <v>80</v>
      </c>
      <c r="C79" s="9" t="s">
        <v>315</v>
      </c>
      <c r="D79" s="8" t="s">
        <v>150</v>
      </c>
      <c r="E79" s="9" t="s">
        <v>316</v>
      </c>
      <c r="F79" s="8" t="s">
        <v>142</v>
      </c>
      <c r="G79" s="8"/>
      <c r="H79" s="10"/>
      <c r="I79" s="10"/>
      <c r="J79" s="11"/>
    </row>
    <row r="80" customFormat="false" ht="24.75" hidden="false" customHeight="true" outlineLevel="0" collapsed="false">
      <c r="A80" s="8" t="n">
        <v>79</v>
      </c>
      <c r="B80" s="8" t="n">
        <v>81</v>
      </c>
      <c r="C80" s="9" t="s">
        <v>317</v>
      </c>
      <c r="D80" s="8" t="s">
        <v>318</v>
      </c>
      <c r="E80" s="9" t="s">
        <v>319</v>
      </c>
      <c r="F80" s="8" t="s">
        <v>142</v>
      </c>
      <c r="G80" s="8"/>
      <c r="H80" s="10"/>
      <c r="I80" s="10"/>
      <c r="J80" s="11"/>
    </row>
    <row r="81" customFormat="false" ht="24.75" hidden="false" customHeight="true" outlineLevel="0" collapsed="false">
      <c r="A81" s="8" t="n">
        <v>80</v>
      </c>
      <c r="B81" s="8" t="n">
        <v>82</v>
      </c>
      <c r="C81" s="9" t="s">
        <v>320</v>
      </c>
      <c r="D81" s="8" t="s">
        <v>321</v>
      </c>
      <c r="E81" s="9" t="s">
        <v>322</v>
      </c>
      <c r="F81" s="8" t="s">
        <v>142</v>
      </c>
      <c r="G81" s="8"/>
      <c r="H81" s="10"/>
      <c r="I81" s="10"/>
      <c r="J81" s="11"/>
    </row>
    <row r="82" customFormat="false" ht="24.75" hidden="false" customHeight="true" outlineLevel="0" collapsed="false">
      <c r="A82" s="8" t="n">
        <v>81</v>
      </c>
      <c r="B82" s="8" t="n">
        <v>83</v>
      </c>
      <c r="C82" s="9" t="s">
        <v>245</v>
      </c>
      <c r="D82" s="8" t="s">
        <v>323</v>
      </c>
      <c r="E82" s="9" t="s">
        <v>324</v>
      </c>
      <c r="F82" s="8" t="s">
        <v>142</v>
      </c>
      <c r="G82" s="8"/>
      <c r="H82" s="10"/>
      <c r="I82" s="10"/>
      <c r="J82" s="11"/>
    </row>
    <row r="83" customFormat="false" ht="24.75" hidden="false" customHeight="true" outlineLevel="0" collapsed="false">
      <c r="A83" s="8" t="n">
        <v>82</v>
      </c>
      <c r="B83" s="8" t="n">
        <v>84</v>
      </c>
      <c r="C83" s="9" t="s">
        <v>325</v>
      </c>
      <c r="D83" s="8" t="s">
        <v>326</v>
      </c>
      <c r="E83" s="9" t="s">
        <v>327</v>
      </c>
      <c r="F83" s="8" t="s">
        <v>142</v>
      </c>
      <c r="G83" s="8"/>
      <c r="H83" s="10"/>
      <c r="I83" s="10"/>
      <c r="J83" s="11"/>
    </row>
    <row r="84" customFormat="false" ht="24.75" hidden="false" customHeight="true" outlineLevel="0" collapsed="false">
      <c r="A84" s="8" t="n">
        <v>83</v>
      </c>
      <c r="B84" s="8" t="n">
        <v>85</v>
      </c>
      <c r="C84" s="9" t="s">
        <v>328</v>
      </c>
      <c r="D84" s="8" t="s">
        <v>236</v>
      </c>
      <c r="E84" s="9" t="s">
        <v>329</v>
      </c>
      <c r="F84" s="8" t="s">
        <v>142</v>
      </c>
      <c r="G84" s="8"/>
      <c r="H84" s="10"/>
      <c r="I84" s="10"/>
      <c r="J84" s="11"/>
    </row>
    <row r="85" customFormat="false" ht="24.75" hidden="false" customHeight="true" outlineLevel="0" collapsed="false">
      <c r="A85" s="8" t="n">
        <v>84</v>
      </c>
      <c r="B85" s="8" t="n">
        <v>86</v>
      </c>
      <c r="C85" s="9" t="s">
        <v>328</v>
      </c>
      <c r="D85" s="8" t="s">
        <v>236</v>
      </c>
      <c r="E85" s="9" t="s">
        <v>330</v>
      </c>
      <c r="F85" s="8" t="s">
        <v>128</v>
      </c>
      <c r="G85" s="8"/>
      <c r="H85" s="10"/>
      <c r="I85" s="10"/>
      <c r="J85" s="11"/>
    </row>
    <row r="86" customFormat="false" ht="15" hidden="false" customHeight="true" outlineLevel="0" collapsed="false">
      <c r="A86" s="8" t="n">
        <v>85</v>
      </c>
      <c r="B86" s="8" t="n">
        <v>87</v>
      </c>
      <c r="C86" s="9" t="s">
        <v>331</v>
      </c>
      <c r="D86" s="8" t="s">
        <v>290</v>
      </c>
      <c r="E86" s="9" t="s">
        <v>332</v>
      </c>
      <c r="F86" s="8" t="s">
        <v>128</v>
      </c>
      <c r="G86" s="8"/>
      <c r="H86" s="10"/>
      <c r="I86" s="10"/>
      <c r="J86" s="11"/>
    </row>
    <row r="87" customFormat="false" ht="24.75" hidden="false" customHeight="true" outlineLevel="0" collapsed="false">
      <c r="A87" s="8" t="n">
        <v>86</v>
      </c>
      <c r="B87" s="8" t="n">
        <v>88</v>
      </c>
      <c r="C87" s="9" t="s">
        <v>333</v>
      </c>
      <c r="D87" s="8" t="s">
        <v>334</v>
      </c>
      <c r="E87" s="9" t="s">
        <v>335</v>
      </c>
      <c r="F87" s="8" t="s">
        <v>128</v>
      </c>
      <c r="G87" s="8"/>
      <c r="H87" s="10"/>
      <c r="I87" s="10"/>
      <c r="J87" s="11"/>
    </row>
    <row r="88" customFormat="false" ht="62.25" hidden="false" customHeight="true" outlineLevel="0" collapsed="false">
      <c r="A88" s="8" t="n">
        <v>87</v>
      </c>
      <c r="B88" s="8" t="n">
        <v>89</v>
      </c>
      <c r="C88" s="9" t="s">
        <v>336</v>
      </c>
      <c r="D88" s="8" t="s">
        <v>337</v>
      </c>
      <c r="E88" s="9" t="s">
        <v>338</v>
      </c>
      <c r="F88" s="8" t="s">
        <v>132</v>
      </c>
      <c r="G88" s="8"/>
      <c r="H88" s="10"/>
      <c r="I88" s="10"/>
      <c r="J88" s="11"/>
    </row>
    <row r="89" customFormat="false" ht="37.5" hidden="false" customHeight="true" outlineLevel="0" collapsed="false">
      <c r="A89" s="8" t="n">
        <v>88</v>
      </c>
      <c r="B89" s="8" t="n">
        <v>90</v>
      </c>
      <c r="C89" s="9" t="s">
        <v>339</v>
      </c>
      <c r="D89" s="8" t="s">
        <v>318</v>
      </c>
      <c r="E89" s="9" t="s">
        <v>340</v>
      </c>
      <c r="F89" s="8" t="s">
        <v>132</v>
      </c>
      <c r="G89" s="8"/>
      <c r="H89" s="10"/>
      <c r="I89" s="10"/>
      <c r="J89" s="11"/>
    </row>
    <row r="90" customFormat="false" ht="75" hidden="false" customHeight="true" outlineLevel="0" collapsed="false">
      <c r="A90" s="8" t="n">
        <v>89</v>
      </c>
      <c r="B90" s="8" t="n">
        <v>91</v>
      </c>
      <c r="C90" s="9" t="s">
        <v>341</v>
      </c>
      <c r="D90" s="8" t="s">
        <v>342</v>
      </c>
      <c r="E90" s="9" t="s">
        <v>343</v>
      </c>
      <c r="F90" s="8" t="s">
        <v>128</v>
      </c>
      <c r="G90" s="8"/>
      <c r="H90" s="10"/>
      <c r="I90" s="10"/>
      <c r="J90" s="11"/>
    </row>
    <row r="91" customFormat="false" ht="49.5" hidden="false" customHeight="true" outlineLevel="0" collapsed="false">
      <c r="A91" s="8" t="n">
        <v>90</v>
      </c>
      <c r="B91" s="8" t="n">
        <v>92</v>
      </c>
      <c r="C91" s="9" t="s">
        <v>344</v>
      </c>
      <c r="D91" s="8" t="s">
        <v>345</v>
      </c>
      <c r="E91" s="9" t="s">
        <v>346</v>
      </c>
      <c r="F91" s="8" t="s">
        <v>132</v>
      </c>
      <c r="G91" s="8"/>
      <c r="H91" s="10"/>
      <c r="I91" s="10"/>
      <c r="J91" s="11"/>
    </row>
    <row r="92" customFormat="false" ht="75" hidden="false" customHeight="true" outlineLevel="0" collapsed="false">
      <c r="A92" s="8" t="n">
        <v>91</v>
      </c>
      <c r="B92" s="8" t="n">
        <v>93</v>
      </c>
      <c r="C92" s="9" t="s">
        <v>347</v>
      </c>
      <c r="D92" s="8"/>
      <c r="E92" s="9" t="s">
        <v>348</v>
      </c>
      <c r="F92" s="8" t="s">
        <v>132</v>
      </c>
      <c r="G92" s="8"/>
      <c r="H92" s="10"/>
      <c r="I92" s="10"/>
      <c r="J92" s="11"/>
    </row>
    <row r="93" customFormat="false" ht="24.75" hidden="false" customHeight="true" outlineLevel="0" collapsed="false">
      <c r="A93" s="8" t="n">
        <v>92</v>
      </c>
      <c r="B93" s="8" t="n">
        <v>94</v>
      </c>
      <c r="C93" s="9" t="s">
        <v>349</v>
      </c>
      <c r="D93" s="8" t="s">
        <v>350</v>
      </c>
      <c r="E93" s="9" t="s">
        <v>351</v>
      </c>
      <c r="F93" s="8" t="s">
        <v>142</v>
      </c>
      <c r="G93" s="8"/>
      <c r="H93" s="10"/>
      <c r="I93" s="10"/>
      <c r="J93" s="11"/>
    </row>
    <row r="94" customFormat="false" ht="24.75" hidden="false" customHeight="true" outlineLevel="0" collapsed="false">
      <c r="A94" s="8" t="n">
        <v>93</v>
      </c>
      <c r="B94" s="8" t="n">
        <v>95</v>
      </c>
      <c r="C94" s="9" t="s">
        <v>352</v>
      </c>
      <c r="D94" s="8" t="s">
        <v>353</v>
      </c>
      <c r="E94" s="9" t="s">
        <v>354</v>
      </c>
      <c r="F94" s="8" t="s">
        <v>132</v>
      </c>
      <c r="G94" s="8"/>
      <c r="H94" s="10"/>
      <c r="I94" s="10"/>
      <c r="J94" s="11"/>
    </row>
    <row r="95" customFormat="false" ht="49.5" hidden="false" customHeight="true" outlineLevel="0" collapsed="false">
      <c r="A95" s="8" t="n">
        <v>94</v>
      </c>
      <c r="B95" s="8" t="n">
        <v>96</v>
      </c>
      <c r="C95" s="9" t="s">
        <v>355</v>
      </c>
      <c r="D95" s="8" t="s">
        <v>337</v>
      </c>
      <c r="E95" s="9" t="s">
        <v>356</v>
      </c>
      <c r="F95" s="8" t="s">
        <v>142</v>
      </c>
      <c r="G95" s="8"/>
      <c r="H95" s="10"/>
      <c r="I95" s="10"/>
      <c r="J95" s="11"/>
    </row>
    <row r="96" customFormat="false" ht="87" hidden="false" customHeight="true" outlineLevel="0" collapsed="false">
      <c r="A96" s="8" t="n">
        <v>95</v>
      </c>
      <c r="B96" s="8" t="n">
        <v>97</v>
      </c>
      <c r="C96" s="9" t="s">
        <v>357</v>
      </c>
      <c r="D96" s="8" t="s">
        <v>358</v>
      </c>
      <c r="E96" s="9" t="s">
        <v>359</v>
      </c>
      <c r="F96" s="8" t="s">
        <v>132</v>
      </c>
      <c r="G96" s="8"/>
      <c r="H96" s="10"/>
      <c r="I96" s="10"/>
      <c r="J96" s="11"/>
    </row>
    <row r="97" customFormat="false" ht="49.5" hidden="false" customHeight="true" outlineLevel="0" collapsed="false">
      <c r="A97" s="8" t="n">
        <v>96</v>
      </c>
      <c r="B97" s="8" t="n">
        <v>98</v>
      </c>
      <c r="C97" s="9" t="s">
        <v>360</v>
      </c>
      <c r="D97" s="8" t="s">
        <v>358</v>
      </c>
      <c r="E97" s="9" t="s">
        <v>361</v>
      </c>
      <c r="F97" s="8" t="s">
        <v>132</v>
      </c>
      <c r="G97" s="8"/>
      <c r="H97" s="10"/>
      <c r="I97" s="10"/>
      <c r="J97" s="11"/>
    </row>
    <row r="98" customFormat="false" ht="37.5" hidden="false" customHeight="true" outlineLevel="0" collapsed="false">
      <c r="A98" s="8" t="n">
        <v>97</v>
      </c>
      <c r="B98" s="8" t="n">
        <v>99</v>
      </c>
      <c r="C98" s="9" t="s">
        <v>362</v>
      </c>
      <c r="D98" s="8" t="s">
        <v>337</v>
      </c>
      <c r="E98" s="9" t="s">
        <v>363</v>
      </c>
      <c r="F98" s="8" t="s">
        <v>132</v>
      </c>
      <c r="G98" s="8"/>
      <c r="H98" s="10"/>
      <c r="I98" s="10"/>
      <c r="J98" s="11"/>
    </row>
    <row r="99" customFormat="false" ht="24.75" hidden="false" customHeight="true" outlineLevel="0" collapsed="false">
      <c r="A99" s="8" t="n">
        <v>98</v>
      </c>
      <c r="B99" s="8" t="n">
        <v>100</v>
      </c>
      <c r="C99" s="9" t="s">
        <v>364</v>
      </c>
      <c r="D99" s="8" t="s">
        <v>365</v>
      </c>
      <c r="E99" s="9" t="s">
        <v>366</v>
      </c>
      <c r="F99" s="8" t="s">
        <v>132</v>
      </c>
      <c r="G99" s="8"/>
      <c r="H99" s="10"/>
      <c r="I99" s="10"/>
      <c r="J99" s="11"/>
    </row>
    <row r="100" customFormat="false" ht="24.75" hidden="false" customHeight="true" outlineLevel="0" collapsed="false">
      <c r="A100" s="8" t="n">
        <v>99</v>
      </c>
      <c r="B100" s="8" t="n">
        <v>101</v>
      </c>
      <c r="C100" s="9" t="s">
        <v>367</v>
      </c>
      <c r="D100" s="8" t="s">
        <v>368</v>
      </c>
      <c r="E100" s="9" t="s">
        <v>369</v>
      </c>
      <c r="F100" s="8" t="s">
        <v>132</v>
      </c>
      <c r="G100" s="8"/>
      <c r="H100" s="10"/>
      <c r="I100" s="10"/>
      <c r="J100" s="11"/>
    </row>
    <row r="101" customFormat="false" ht="15" hidden="false" customHeight="true" outlineLevel="0" collapsed="false">
      <c r="A101" s="8" t="n">
        <v>100</v>
      </c>
      <c r="B101" s="8" t="n">
        <v>102</v>
      </c>
      <c r="C101" s="9" t="s">
        <v>370</v>
      </c>
      <c r="D101" s="8" t="s">
        <v>337</v>
      </c>
      <c r="E101" s="9" t="s">
        <v>371</v>
      </c>
      <c r="F101" s="8" t="s">
        <v>142</v>
      </c>
      <c r="G101" s="8"/>
      <c r="H101" s="10"/>
      <c r="I101" s="10"/>
      <c r="J101" s="11"/>
    </row>
    <row r="102" customFormat="false" ht="49.5" hidden="false" customHeight="true" outlineLevel="0" collapsed="false">
      <c r="A102" s="8" t="n">
        <v>101</v>
      </c>
      <c r="B102" s="8" t="n">
        <v>103</v>
      </c>
      <c r="C102" s="9" t="s">
        <v>372</v>
      </c>
      <c r="D102" s="8" t="s">
        <v>373</v>
      </c>
      <c r="E102" s="9" t="s">
        <v>374</v>
      </c>
      <c r="F102" s="8" t="s">
        <v>132</v>
      </c>
      <c r="G102" s="8"/>
      <c r="H102" s="10"/>
      <c r="I102" s="10"/>
      <c r="J102" s="11"/>
    </row>
    <row r="103" customFormat="false" ht="49.5" hidden="false" customHeight="true" outlineLevel="0" collapsed="false">
      <c r="A103" s="8" t="n">
        <v>102</v>
      </c>
      <c r="B103" s="8" t="n">
        <v>104</v>
      </c>
      <c r="C103" s="9" t="s">
        <v>375</v>
      </c>
      <c r="D103" s="8" t="s">
        <v>242</v>
      </c>
      <c r="E103" s="9" t="s">
        <v>376</v>
      </c>
      <c r="F103" s="8" t="s">
        <v>142</v>
      </c>
      <c r="G103" s="8"/>
      <c r="H103" s="10"/>
      <c r="I103" s="10"/>
      <c r="J103" s="11"/>
    </row>
    <row r="104" customFormat="false" ht="49.5" hidden="false" customHeight="true" outlineLevel="0" collapsed="false">
      <c r="A104" s="8" t="n">
        <v>103</v>
      </c>
      <c r="B104" s="8" t="n">
        <v>105</v>
      </c>
      <c r="C104" s="9" t="s">
        <v>377</v>
      </c>
      <c r="D104" s="8" t="s">
        <v>337</v>
      </c>
      <c r="E104" s="9" t="s">
        <v>378</v>
      </c>
      <c r="F104" s="8" t="s">
        <v>132</v>
      </c>
      <c r="G104" s="8"/>
      <c r="H104" s="10"/>
      <c r="I104" s="10"/>
      <c r="J104" s="11"/>
    </row>
    <row r="105" customFormat="false" ht="49.5" hidden="false" customHeight="true" outlineLevel="0" collapsed="false">
      <c r="A105" s="8" t="n">
        <v>104</v>
      </c>
      <c r="B105" s="8" t="n">
        <v>106</v>
      </c>
      <c r="C105" s="9" t="s">
        <v>379</v>
      </c>
      <c r="D105" s="8" t="s">
        <v>337</v>
      </c>
      <c r="E105" s="9" t="s">
        <v>380</v>
      </c>
      <c r="F105" s="8" t="s">
        <v>132</v>
      </c>
      <c r="G105" s="8"/>
      <c r="H105" s="10"/>
      <c r="I105" s="10"/>
      <c r="J105" s="11"/>
    </row>
    <row r="106" customFormat="false" ht="24.75" hidden="false" customHeight="true" outlineLevel="0" collapsed="false">
      <c r="A106" s="8" t="n">
        <v>105</v>
      </c>
      <c r="B106" s="8" t="n">
        <v>107</v>
      </c>
      <c r="C106" s="9" t="s">
        <v>381</v>
      </c>
      <c r="D106" s="8" t="s">
        <v>165</v>
      </c>
      <c r="E106" s="9" t="s">
        <v>382</v>
      </c>
      <c r="F106" s="8" t="s">
        <v>132</v>
      </c>
      <c r="G106" s="8"/>
      <c r="H106" s="10"/>
      <c r="I106" s="10"/>
      <c r="J106" s="11"/>
    </row>
    <row r="107" customFormat="false" ht="15" hidden="false" customHeight="true" outlineLevel="0" collapsed="false">
      <c r="A107" s="8" t="n">
        <v>106</v>
      </c>
      <c r="B107" s="8" t="n">
        <v>108</v>
      </c>
      <c r="C107" s="9" t="s">
        <v>383</v>
      </c>
      <c r="D107" s="8" t="s">
        <v>337</v>
      </c>
      <c r="E107" s="9" t="s">
        <v>384</v>
      </c>
      <c r="F107" s="8" t="s">
        <v>132</v>
      </c>
      <c r="G107" s="8"/>
      <c r="H107" s="10"/>
      <c r="I107" s="10"/>
      <c r="J107" s="11"/>
    </row>
    <row r="108" customFormat="false" ht="24.75" hidden="false" customHeight="true" outlineLevel="0" collapsed="false">
      <c r="A108" s="8" t="n">
        <v>107</v>
      </c>
      <c r="B108" s="8" t="n">
        <v>109</v>
      </c>
      <c r="C108" s="9" t="s">
        <v>385</v>
      </c>
      <c r="D108" s="8" t="s">
        <v>386</v>
      </c>
      <c r="E108" s="9" t="s">
        <v>387</v>
      </c>
      <c r="F108" s="8" t="s">
        <v>132</v>
      </c>
      <c r="G108" s="8"/>
      <c r="H108" s="10"/>
      <c r="I108" s="10"/>
      <c r="J108" s="11"/>
    </row>
    <row r="109" customFormat="false" ht="49.5" hidden="false" customHeight="true" outlineLevel="0" collapsed="false">
      <c r="A109" s="8" t="n">
        <v>108</v>
      </c>
      <c r="B109" s="8" t="n">
        <v>110</v>
      </c>
      <c r="C109" s="9" t="s">
        <v>388</v>
      </c>
      <c r="D109" s="8" t="s">
        <v>337</v>
      </c>
      <c r="E109" s="9" t="s">
        <v>389</v>
      </c>
      <c r="F109" s="8" t="s">
        <v>142</v>
      </c>
      <c r="G109" s="8"/>
      <c r="H109" s="10"/>
      <c r="I109" s="10"/>
      <c r="J109" s="11"/>
    </row>
    <row r="110" customFormat="false" ht="62.25" hidden="false" customHeight="true" outlineLevel="0" collapsed="false">
      <c r="A110" s="8" t="n">
        <v>109</v>
      </c>
      <c r="B110" s="8" t="n">
        <v>111</v>
      </c>
      <c r="C110" s="9" t="s">
        <v>390</v>
      </c>
      <c r="D110" s="8" t="s">
        <v>337</v>
      </c>
      <c r="E110" s="9" t="s">
        <v>391</v>
      </c>
      <c r="F110" s="8" t="s">
        <v>142</v>
      </c>
      <c r="G110" s="8"/>
      <c r="H110" s="10"/>
      <c r="I110" s="10"/>
      <c r="J110" s="11"/>
    </row>
    <row r="111" customFormat="false" ht="49.5" hidden="false" customHeight="true" outlineLevel="0" collapsed="false">
      <c r="A111" s="8" t="n">
        <v>110</v>
      </c>
      <c r="B111" s="8" t="n">
        <v>112</v>
      </c>
      <c r="C111" s="9" t="s">
        <v>392</v>
      </c>
      <c r="D111" s="8" t="s">
        <v>203</v>
      </c>
      <c r="E111" s="9" t="s">
        <v>393</v>
      </c>
      <c r="F111" s="8" t="s">
        <v>132</v>
      </c>
      <c r="G111" s="8"/>
      <c r="H111" s="10"/>
      <c r="I111" s="10"/>
      <c r="J111" s="11"/>
    </row>
    <row r="112" customFormat="false" ht="87" hidden="false" customHeight="true" outlineLevel="0" collapsed="false">
      <c r="A112" s="8" t="n">
        <v>111</v>
      </c>
      <c r="B112" s="8" t="n">
        <v>113</v>
      </c>
      <c r="C112" s="9" t="s">
        <v>394</v>
      </c>
      <c r="D112" s="8" t="s">
        <v>395</v>
      </c>
      <c r="E112" s="9" t="s">
        <v>396</v>
      </c>
      <c r="F112" s="8" t="s">
        <v>132</v>
      </c>
      <c r="G112" s="8"/>
      <c r="H112" s="10"/>
      <c r="I112" s="10"/>
      <c r="J112" s="11"/>
    </row>
    <row r="113" customFormat="false" ht="37.5" hidden="false" customHeight="true" outlineLevel="0" collapsed="false">
      <c r="A113" s="8" t="n">
        <v>112</v>
      </c>
      <c r="B113" s="8" t="n">
        <v>114</v>
      </c>
      <c r="C113" s="9" t="s">
        <v>397</v>
      </c>
      <c r="D113" s="8" t="s">
        <v>398</v>
      </c>
      <c r="E113" s="9" t="s">
        <v>399</v>
      </c>
      <c r="F113" s="8" t="s">
        <v>132</v>
      </c>
      <c r="G113" s="8"/>
      <c r="H113" s="10"/>
      <c r="I113" s="10"/>
      <c r="J113" s="11"/>
    </row>
    <row r="114" customFormat="false" ht="37.5" hidden="false" customHeight="true" outlineLevel="0" collapsed="false">
      <c r="A114" s="8" t="n">
        <v>113</v>
      </c>
      <c r="B114" s="8" t="n">
        <v>115</v>
      </c>
      <c r="C114" s="9" t="s">
        <v>400</v>
      </c>
      <c r="D114" s="8" t="s">
        <v>337</v>
      </c>
      <c r="E114" s="9" t="s">
        <v>401</v>
      </c>
      <c r="F114" s="8" t="s">
        <v>132</v>
      </c>
      <c r="G114" s="8"/>
      <c r="H114" s="10"/>
      <c r="I114" s="10"/>
      <c r="J114" s="11"/>
    </row>
    <row r="115" customFormat="false" ht="62.25" hidden="false" customHeight="true" outlineLevel="0" collapsed="false">
      <c r="A115" s="8" t="n">
        <v>114</v>
      </c>
      <c r="B115" s="8" t="n">
        <v>116</v>
      </c>
      <c r="C115" s="9" t="s">
        <v>402</v>
      </c>
      <c r="D115" s="8" t="s">
        <v>150</v>
      </c>
      <c r="E115" s="9" t="s">
        <v>403</v>
      </c>
      <c r="F115" s="8" t="s">
        <v>128</v>
      </c>
      <c r="G115" s="8"/>
      <c r="H115" s="10"/>
      <c r="I115" s="10"/>
      <c r="J115" s="11"/>
    </row>
    <row r="116" customFormat="false" ht="87" hidden="false" customHeight="true" outlineLevel="0" collapsed="false">
      <c r="A116" s="8" t="n">
        <v>115</v>
      </c>
      <c r="B116" s="8" t="n">
        <v>117</v>
      </c>
      <c r="C116" s="9" t="s">
        <v>274</v>
      </c>
      <c r="D116" s="8" t="s">
        <v>275</v>
      </c>
      <c r="E116" s="9" t="s">
        <v>404</v>
      </c>
      <c r="F116" s="8" t="s">
        <v>128</v>
      </c>
      <c r="G116" s="8"/>
      <c r="H116" s="10"/>
      <c r="I116" s="10"/>
      <c r="J116" s="11"/>
    </row>
    <row r="117" customFormat="false" ht="75" hidden="false" customHeight="true" outlineLevel="0" collapsed="false">
      <c r="A117" s="8" t="n">
        <v>116</v>
      </c>
      <c r="B117" s="8" t="n">
        <v>118</v>
      </c>
      <c r="C117" s="9" t="s">
        <v>149</v>
      </c>
      <c r="D117" s="8" t="s">
        <v>150</v>
      </c>
      <c r="E117" s="9" t="s">
        <v>405</v>
      </c>
      <c r="F117" s="8" t="s">
        <v>128</v>
      </c>
      <c r="G117" s="12" t="s">
        <v>167</v>
      </c>
      <c r="H117" s="10"/>
      <c r="I117" s="10"/>
      <c r="J117" s="11"/>
    </row>
    <row r="118" customFormat="false" ht="15" hidden="false" customHeight="true" outlineLevel="0" collapsed="false">
      <c r="A118" s="8" t="n">
        <v>117</v>
      </c>
      <c r="B118" s="8" t="n">
        <v>119</v>
      </c>
      <c r="C118" s="9" t="s">
        <v>406</v>
      </c>
      <c r="D118" s="8" t="s">
        <v>140</v>
      </c>
      <c r="E118" s="9" t="s">
        <v>407</v>
      </c>
      <c r="F118" s="8" t="s">
        <v>132</v>
      </c>
      <c r="G118" s="8"/>
      <c r="H118" s="10"/>
      <c r="I118" s="10"/>
      <c r="J118" s="11"/>
    </row>
    <row r="119" customFormat="false" ht="37.5" hidden="false" customHeight="true" outlineLevel="0" collapsed="false">
      <c r="A119" s="8" t="n">
        <v>118</v>
      </c>
      <c r="B119" s="8" t="n">
        <v>120</v>
      </c>
      <c r="C119" s="9" t="s">
        <v>408</v>
      </c>
      <c r="D119" s="8" t="s">
        <v>409</v>
      </c>
      <c r="E119" s="9" t="s">
        <v>410</v>
      </c>
      <c r="F119" s="8" t="s">
        <v>142</v>
      </c>
      <c r="G119" s="8"/>
      <c r="H119" s="10"/>
      <c r="I119" s="10"/>
      <c r="J119" s="11"/>
    </row>
    <row r="120" customFormat="false" ht="62.25" hidden="false" customHeight="true" outlineLevel="0" collapsed="false">
      <c r="A120" s="8" t="n">
        <v>119</v>
      </c>
      <c r="B120" s="8" t="n">
        <v>121</v>
      </c>
      <c r="C120" s="9" t="s">
        <v>328</v>
      </c>
      <c r="D120" s="8" t="s">
        <v>236</v>
      </c>
      <c r="E120" s="9" t="s">
        <v>411</v>
      </c>
      <c r="F120" s="8" t="s">
        <v>128</v>
      </c>
      <c r="G120" s="8"/>
      <c r="H120" s="10"/>
      <c r="I120" s="10"/>
      <c r="J120" s="11"/>
    </row>
    <row r="121" customFormat="false" ht="37.5" hidden="false" customHeight="true" outlineLevel="0" collapsed="false">
      <c r="A121" s="8" t="n">
        <v>120</v>
      </c>
      <c r="B121" s="8" t="n">
        <v>122</v>
      </c>
      <c r="C121" s="9" t="s">
        <v>412</v>
      </c>
      <c r="D121" s="8" t="s">
        <v>398</v>
      </c>
      <c r="E121" s="9" t="s">
        <v>413</v>
      </c>
      <c r="F121" s="8" t="s">
        <v>132</v>
      </c>
      <c r="G121" s="12" t="s">
        <v>167</v>
      </c>
      <c r="H121" s="10"/>
      <c r="I121" s="10"/>
      <c r="J121" s="11"/>
    </row>
    <row r="122" customFormat="false" ht="37.5" hidden="false" customHeight="true" outlineLevel="0" collapsed="false">
      <c r="A122" s="8" t="n">
        <v>121</v>
      </c>
      <c r="B122" s="8" t="n">
        <v>123</v>
      </c>
      <c r="C122" s="9" t="s">
        <v>414</v>
      </c>
      <c r="D122" s="8" t="s">
        <v>415</v>
      </c>
      <c r="E122" s="9" t="s">
        <v>416</v>
      </c>
      <c r="F122" s="8" t="s">
        <v>128</v>
      </c>
      <c r="G122" s="8"/>
      <c r="H122" s="10"/>
      <c r="I122" s="10"/>
      <c r="J122" s="11"/>
    </row>
    <row r="123" customFormat="false" ht="37.5" hidden="false" customHeight="true" outlineLevel="0" collapsed="false">
      <c r="A123" s="8" t="n">
        <v>122</v>
      </c>
      <c r="B123" s="8" t="n">
        <v>124</v>
      </c>
      <c r="C123" s="9" t="s">
        <v>417</v>
      </c>
      <c r="D123" s="8" t="s">
        <v>358</v>
      </c>
      <c r="E123" s="9" t="s">
        <v>418</v>
      </c>
      <c r="F123" s="8" t="s">
        <v>132</v>
      </c>
      <c r="G123" s="8"/>
      <c r="H123" s="10"/>
      <c r="I123" s="10"/>
      <c r="J123" s="11"/>
    </row>
    <row r="124" customFormat="false" ht="49.5" hidden="false" customHeight="true" outlineLevel="0" collapsed="false">
      <c r="A124" s="8" t="n">
        <v>123</v>
      </c>
      <c r="B124" s="8" t="n">
        <v>126</v>
      </c>
      <c r="C124" s="9" t="s">
        <v>419</v>
      </c>
      <c r="D124" s="8" t="s">
        <v>398</v>
      </c>
      <c r="E124" s="9" t="s">
        <v>420</v>
      </c>
      <c r="F124" s="8" t="s">
        <v>132</v>
      </c>
      <c r="G124" s="8"/>
      <c r="H124" s="10"/>
      <c r="I124" s="10"/>
      <c r="J124" s="11"/>
    </row>
    <row r="125" customFormat="false" ht="24.75" hidden="false" customHeight="true" outlineLevel="0" collapsed="false">
      <c r="A125" s="8" t="n">
        <v>124</v>
      </c>
      <c r="B125" s="8" t="n">
        <v>127</v>
      </c>
      <c r="C125" s="9" t="s">
        <v>421</v>
      </c>
      <c r="D125" s="8" t="s">
        <v>318</v>
      </c>
      <c r="E125" s="9" t="s">
        <v>422</v>
      </c>
      <c r="F125" s="8" t="s">
        <v>132</v>
      </c>
      <c r="G125" s="8"/>
      <c r="H125" s="10"/>
      <c r="I125" s="10"/>
      <c r="J125" s="11"/>
    </row>
    <row r="126" customFormat="false" ht="24.75" hidden="false" customHeight="true" outlineLevel="0" collapsed="false">
      <c r="A126" s="8" t="n">
        <v>125</v>
      </c>
      <c r="B126" s="8" t="n">
        <v>128</v>
      </c>
      <c r="C126" s="9" t="s">
        <v>423</v>
      </c>
      <c r="D126" s="8" t="s">
        <v>424</v>
      </c>
      <c r="E126" s="9" t="s">
        <v>425</v>
      </c>
      <c r="F126" s="8" t="s">
        <v>132</v>
      </c>
      <c r="G126" s="8"/>
      <c r="H126" s="10"/>
      <c r="I126" s="10"/>
      <c r="J126" s="11"/>
    </row>
    <row r="127" customFormat="false" ht="37.5" hidden="false" customHeight="true" outlineLevel="0" collapsed="false">
      <c r="A127" s="8" t="n">
        <v>126</v>
      </c>
      <c r="B127" s="8" t="n">
        <v>129</v>
      </c>
      <c r="C127" s="9" t="s">
        <v>426</v>
      </c>
      <c r="D127" s="8" t="s">
        <v>427</v>
      </c>
      <c r="E127" s="9" t="s">
        <v>428</v>
      </c>
      <c r="F127" s="8" t="s">
        <v>132</v>
      </c>
      <c r="G127" s="8"/>
      <c r="H127" s="10"/>
      <c r="I127" s="10"/>
      <c r="J127" s="11"/>
    </row>
    <row r="128" customFormat="false" ht="75" hidden="false" customHeight="true" outlineLevel="0" collapsed="false">
      <c r="A128" s="8" t="n">
        <v>127</v>
      </c>
      <c r="B128" s="8" t="n">
        <v>130</v>
      </c>
      <c r="C128" s="9" t="s">
        <v>429</v>
      </c>
      <c r="D128" s="8" t="s">
        <v>290</v>
      </c>
      <c r="E128" s="9" t="s">
        <v>430</v>
      </c>
      <c r="F128" s="8" t="s">
        <v>142</v>
      </c>
      <c r="G128" s="8"/>
      <c r="H128" s="10"/>
      <c r="I128" s="10"/>
      <c r="J128" s="11"/>
    </row>
    <row r="129" customFormat="false" ht="75" hidden="false" customHeight="true" outlineLevel="0" collapsed="false">
      <c r="A129" s="8" t="n">
        <v>128</v>
      </c>
      <c r="B129" s="8" t="n">
        <v>131</v>
      </c>
      <c r="C129" s="9" t="s">
        <v>233</v>
      </c>
      <c r="D129" s="8" t="s">
        <v>431</v>
      </c>
      <c r="E129" s="9" t="s">
        <v>432</v>
      </c>
      <c r="F129" s="8" t="s">
        <v>142</v>
      </c>
      <c r="G129" s="8"/>
      <c r="H129" s="10"/>
      <c r="I129" s="10"/>
      <c r="J129" s="11"/>
    </row>
    <row r="130" customFormat="false" ht="24.75" hidden="false" customHeight="true" outlineLevel="0" collapsed="false">
      <c r="A130" s="8" t="n">
        <v>129</v>
      </c>
      <c r="B130" s="8" t="n">
        <v>133</v>
      </c>
      <c r="C130" s="9" t="s">
        <v>230</v>
      </c>
      <c r="D130" s="8" t="s">
        <v>433</v>
      </c>
      <c r="E130" s="9" t="s">
        <v>434</v>
      </c>
      <c r="F130" s="8" t="s">
        <v>132</v>
      </c>
      <c r="G130" s="8"/>
      <c r="H130" s="10"/>
      <c r="I130" s="10"/>
      <c r="J130" s="11"/>
    </row>
    <row r="131" customFormat="false" ht="62.25" hidden="false" customHeight="true" outlineLevel="0" collapsed="false">
      <c r="A131" s="8" t="n">
        <v>130</v>
      </c>
      <c r="B131" s="8" t="n">
        <v>134</v>
      </c>
      <c r="C131" s="9" t="s">
        <v>435</v>
      </c>
      <c r="D131" s="8" t="s">
        <v>436</v>
      </c>
      <c r="E131" s="9" t="s">
        <v>437</v>
      </c>
      <c r="F131" s="8" t="s">
        <v>142</v>
      </c>
      <c r="G131" s="8"/>
      <c r="H131" s="10"/>
      <c r="I131" s="10"/>
      <c r="J131" s="11"/>
    </row>
    <row r="132" customFormat="false" ht="87" hidden="false" customHeight="true" outlineLevel="0" collapsed="false">
      <c r="A132" s="8" t="n">
        <v>131</v>
      </c>
      <c r="B132" s="8" t="n">
        <v>136</v>
      </c>
      <c r="C132" s="9" t="s">
        <v>152</v>
      </c>
      <c r="D132" s="8" t="s">
        <v>438</v>
      </c>
      <c r="E132" s="9" t="s">
        <v>439</v>
      </c>
      <c r="F132" s="8" t="s">
        <v>132</v>
      </c>
      <c r="G132" s="8"/>
      <c r="H132" s="10"/>
      <c r="I132" s="10"/>
      <c r="J132" s="11"/>
    </row>
    <row r="133" customFormat="false" ht="15" hidden="false" customHeight="true" outlineLevel="0" collapsed="false">
      <c r="A133" s="8" t="n">
        <v>132</v>
      </c>
      <c r="B133" s="8" t="n">
        <v>137</v>
      </c>
      <c r="C133" s="9" t="s">
        <v>440</v>
      </c>
      <c r="D133" s="8" t="s">
        <v>441</v>
      </c>
      <c r="E133" s="9" t="s">
        <v>442</v>
      </c>
      <c r="F133" s="8" t="s">
        <v>142</v>
      </c>
      <c r="G133" s="8"/>
      <c r="H133" s="10"/>
      <c r="I133" s="10"/>
      <c r="J133" s="11"/>
    </row>
    <row r="134" customFormat="false" ht="49.5" hidden="false" customHeight="true" outlineLevel="0" collapsed="false">
      <c r="A134" s="8" t="n">
        <v>133</v>
      </c>
      <c r="B134" s="8" t="n">
        <v>139</v>
      </c>
      <c r="C134" s="9" t="s">
        <v>443</v>
      </c>
      <c r="D134" s="8" t="s">
        <v>358</v>
      </c>
      <c r="E134" s="9" t="s">
        <v>444</v>
      </c>
      <c r="F134" s="8" t="s">
        <v>132</v>
      </c>
      <c r="G134" s="8"/>
      <c r="H134" s="10"/>
      <c r="I134" s="10"/>
      <c r="J134" s="11"/>
    </row>
    <row r="135" customFormat="false" ht="37.5" hidden="false" customHeight="true" outlineLevel="0" collapsed="false">
      <c r="A135" s="8" t="n">
        <v>134</v>
      </c>
      <c r="B135" s="8" t="n">
        <v>140</v>
      </c>
      <c r="C135" s="9" t="s">
        <v>445</v>
      </c>
      <c r="D135" s="8" t="s">
        <v>446</v>
      </c>
      <c r="E135" s="9" t="s">
        <v>447</v>
      </c>
      <c r="F135" s="8" t="s">
        <v>142</v>
      </c>
      <c r="G135" s="8"/>
      <c r="H135" s="10"/>
      <c r="I135" s="10"/>
      <c r="J135" s="11"/>
    </row>
    <row r="136" customFormat="false" ht="49.5" hidden="false" customHeight="true" outlineLevel="0" collapsed="false">
      <c r="A136" s="8" t="n">
        <v>135</v>
      </c>
      <c r="B136" s="8" t="n">
        <v>141</v>
      </c>
      <c r="C136" s="9" t="s">
        <v>448</v>
      </c>
      <c r="D136" s="8" t="s">
        <v>350</v>
      </c>
      <c r="E136" s="9" t="s">
        <v>449</v>
      </c>
      <c r="F136" s="8" t="s">
        <v>128</v>
      </c>
      <c r="G136" s="8"/>
      <c r="H136" s="10"/>
      <c r="I136" s="10"/>
      <c r="J136" s="11"/>
    </row>
    <row r="137" customFormat="false" ht="37.5" hidden="false" customHeight="true" outlineLevel="0" collapsed="false">
      <c r="A137" s="8" t="n">
        <v>136</v>
      </c>
      <c r="B137" s="8" t="n">
        <v>142</v>
      </c>
      <c r="C137" s="9" t="s">
        <v>450</v>
      </c>
      <c r="D137" s="8" t="s">
        <v>451</v>
      </c>
      <c r="E137" s="9" t="s">
        <v>452</v>
      </c>
      <c r="F137" s="8" t="s">
        <v>132</v>
      </c>
      <c r="G137" s="8"/>
      <c r="H137" s="10"/>
      <c r="I137" s="10"/>
      <c r="J137" s="11"/>
    </row>
    <row r="138" customFormat="false" ht="49.5" hidden="false" customHeight="true" outlineLevel="0" collapsed="false">
      <c r="A138" s="8" t="n">
        <v>137</v>
      </c>
      <c r="B138" s="8" t="n">
        <v>143</v>
      </c>
      <c r="C138" s="9" t="s">
        <v>453</v>
      </c>
      <c r="D138" s="8" t="s">
        <v>454</v>
      </c>
      <c r="E138" s="9" t="s">
        <v>455</v>
      </c>
      <c r="F138" s="8" t="s">
        <v>132</v>
      </c>
      <c r="G138" s="8"/>
      <c r="H138" s="10"/>
      <c r="I138" s="10"/>
      <c r="J138" s="11"/>
    </row>
    <row r="139" customFormat="false" ht="75" hidden="false" customHeight="true" outlineLevel="0" collapsed="false">
      <c r="A139" s="8" t="n">
        <v>138</v>
      </c>
      <c r="B139" s="8" t="n">
        <v>145</v>
      </c>
      <c r="C139" s="9"/>
      <c r="D139" s="8"/>
      <c r="E139" s="9" t="s">
        <v>456</v>
      </c>
      <c r="F139" s="8" t="s">
        <v>132</v>
      </c>
      <c r="G139" s="8"/>
      <c r="H139" s="10"/>
      <c r="I139" s="10"/>
      <c r="J139" s="11"/>
    </row>
    <row r="140" customFormat="false" ht="24.75" hidden="false" customHeight="true" outlineLevel="0" collapsed="false">
      <c r="A140" s="8" t="n">
        <v>139</v>
      </c>
      <c r="B140" s="8" t="n">
        <v>146</v>
      </c>
      <c r="C140" s="9" t="s">
        <v>457</v>
      </c>
      <c r="D140" s="8" t="s">
        <v>454</v>
      </c>
      <c r="E140" s="9" t="s">
        <v>458</v>
      </c>
      <c r="F140" s="8" t="s">
        <v>132</v>
      </c>
      <c r="G140" s="8"/>
      <c r="H140" s="10"/>
      <c r="I140" s="10"/>
      <c r="J140" s="11"/>
    </row>
    <row r="141" customFormat="false" ht="37.5" hidden="false" customHeight="true" outlineLevel="0" collapsed="false">
      <c r="A141" s="8" t="n">
        <v>140</v>
      </c>
      <c r="B141" s="8" t="n">
        <v>147</v>
      </c>
      <c r="C141" s="9" t="s">
        <v>146</v>
      </c>
      <c r="D141" s="8" t="s">
        <v>147</v>
      </c>
      <c r="E141" s="9" t="s">
        <v>459</v>
      </c>
      <c r="F141" s="8" t="s">
        <v>128</v>
      </c>
      <c r="G141" s="8"/>
      <c r="H141" s="10"/>
      <c r="I141" s="10"/>
      <c r="J141" s="11"/>
    </row>
    <row r="142" customFormat="false" ht="75" hidden="false" customHeight="true" outlineLevel="0" collapsed="false">
      <c r="A142" s="8" t="n">
        <v>141</v>
      </c>
      <c r="B142" s="8" t="n">
        <v>148</v>
      </c>
      <c r="C142" s="9" t="s">
        <v>152</v>
      </c>
      <c r="D142" s="8" t="s">
        <v>191</v>
      </c>
      <c r="E142" s="9" t="s">
        <v>460</v>
      </c>
      <c r="F142" s="8" t="s">
        <v>142</v>
      </c>
      <c r="G142" s="8"/>
      <c r="H142" s="10"/>
      <c r="I142" s="10"/>
      <c r="J142" s="11"/>
    </row>
    <row r="143" customFormat="false" ht="62.25" hidden="false" customHeight="true" outlineLevel="0" collapsed="false">
      <c r="A143" s="8" t="n">
        <v>142</v>
      </c>
      <c r="B143" s="8" t="n">
        <v>150</v>
      </c>
      <c r="C143" s="9" t="s">
        <v>461</v>
      </c>
      <c r="D143" s="8" t="s">
        <v>462</v>
      </c>
      <c r="E143" s="9" t="s">
        <v>463</v>
      </c>
      <c r="F143" s="8" t="s">
        <v>128</v>
      </c>
      <c r="G143" s="8"/>
      <c r="H143" s="10"/>
      <c r="I143" s="10"/>
      <c r="J143" s="11"/>
    </row>
    <row r="144" customFormat="false" ht="75" hidden="false" customHeight="true" outlineLevel="0" collapsed="false">
      <c r="A144" s="8" t="n">
        <v>143</v>
      </c>
      <c r="B144" s="8" t="n">
        <v>152</v>
      </c>
      <c r="C144" s="9" t="s">
        <v>199</v>
      </c>
      <c r="D144" s="8" t="s">
        <v>200</v>
      </c>
      <c r="E144" s="9" t="s">
        <v>464</v>
      </c>
      <c r="F144" s="8" t="s">
        <v>128</v>
      </c>
      <c r="G144" s="8"/>
      <c r="H144" s="10"/>
      <c r="I144" s="10"/>
      <c r="J144" s="11"/>
    </row>
    <row r="145" customFormat="false" ht="75" hidden="false" customHeight="true" outlineLevel="0" collapsed="false">
      <c r="A145" s="8" t="n">
        <v>144</v>
      </c>
      <c r="B145" s="8" t="n">
        <v>153</v>
      </c>
      <c r="C145" s="9" t="s">
        <v>465</v>
      </c>
      <c r="D145" s="8" t="s">
        <v>466</v>
      </c>
      <c r="E145" s="9" t="s">
        <v>467</v>
      </c>
      <c r="F145" s="8" t="s">
        <v>128</v>
      </c>
      <c r="G145" s="8"/>
      <c r="H145" s="10"/>
      <c r="I145" s="10"/>
      <c r="J145" s="11"/>
    </row>
    <row r="146" customFormat="false" ht="49.5" hidden="false" customHeight="true" outlineLevel="0" collapsed="false">
      <c r="A146" s="8" t="n">
        <v>145</v>
      </c>
      <c r="B146" s="8" t="n">
        <v>154</v>
      </c>
      <c r="C146" s="9" t="s">
        <v>468</v>
      </c>
      <c r="D146" s="8" t="s">
        <v>424</v>
      </c>
      <c r="E146" s="9" t="s">
        <v>469</v>
      </c>
      <c r="F146" s="8" t="s">
        <v>132</v>
      </c>
      <c r="G146" s="8"/>
      <c r="H146" s="10"/>
      <c r="I146" s="10"/>
      <c r="J146" s="11"/>
    </row>
    <row r="147" customFormat="false" ht="37.5" hidden="false" customHeight="true" outlineLevel="0" collapsed="false">
      <c r="A147" s="8" t="n">
        <v>146</v>
      </c>
      <c r="B147" s="8" t="n">
        <v>155</v>
      </c>
      <c r="C147" s="9" t="s">
        <v>470</v>
      </c>
      <c r="D147" s="8" t="s">
        <v>409</v>
      </c>
      <c r="E147" s="9" t="s">
        <v>471</v>
      </c>
      <c r="F147" s="8" t="s">
        <v>132</v>
      </c>
      <c r="G147" s="8"/>
      <c r="H147" s="10"/>
      <c r="I147" s="10"/>
      <c r="J147" s="11"/>
    </row>
    <row r="148" customFormat="false" ht="24.75" hidden="false" customHeight="true" outlineLevel="0" collapsed="false">
      <c r="A148" s="8" t="n">
        <v>147</v>
      </c>
      <c r="B148" s="8" t="n">
        <v>156</v>
      </c>
      <c r="C148" s="9" t="s">
        <v>472</v>
      </c>
      <c r="D148" s="8" t="s">
        <v>473</v>
      </c>
      <c r="E148" s="9" t="s">
        <v>474</v>
      </c>
      <c r="F148" s="8" t="s">
        <v>132</v>
      </c>
      <c r="G148" s="8"/>
      <c r="H148" s="10"/>
      <c r="I148" s="10"/>
      <c r="J148" s="11"/>
    </row>
    <row r="149" customFormat="false" ht="37.5" hidden="false" customHeight="true" outlineLevel="0" collapsed="false">
      <c r="A149" s="8" t="n">
        <v>148</v>
      </c>
      <c r="B149" s="8" t="n">
        <v>157</v>
      </c>
      <c r="C149" s="9" t="s">
        <v>475</v>
      </c>
      <c r="D149" s="8" t="s">
        <v>236</v>
      </c>
      <c r="E149" s="9" t="s">
        <v>476</v>
      </c>
      <c r="F149" s="8" t="s">
        <v>132</v>
      </c>
      <c r="G149" s="8"/>
      <c r="H149" s="10"/>
      <c r="I149" s="10"/>
      <c r="J149" s="11"/>
    </row>
    <row r="150" customFormat="false" ht="75" hidden="false" customHeight="true" outlineLevel="0" collapsed="false">
      <c r="A150" s="8" t="n">
        <v>149</v>
      </c>
      <c r="B150" s="8" t="n">
        <v>158</v>
      </c>
      <c r="C150" s="9" t="s">
        <v>477</v>
      </c>
      <c r="D150" s="8" t="s">
        <v>197</v>
      </c>
      <c r="E150" s="9" t="s">
        <v>478</v>
      </c>
      <c r="F150" s="8" t="s">
        <v>132</v>
      </c>
      <c r="G150" s="8"/>
      <c r="H150" s="10"/>
      <c r="I150" s="10"/>
      <c r="J150" s="11"/>
    </row>
    <row r="151" customFormat="false" ht="37.5" hidden="false" customHeight="true" outlineLevel="0" collapsed="false">
      <c r="A151" s="8" t="n">
        <v>150</v>
      </c>
      <c r="B151" s="8" t="n">
        <v>159</v>
      </c>
      <c r="C151" s="9" t="s">
        <v>479</v>
      </c>
      <c r="D151" s="8" t="s">
        <v>368</v>
      </c>
      <c r="E151" s="9" t="s">
        <v>480</v>
      </c>
      <c r="F151" s="8" t="s">
        <v>142</v>
      </c>
      <c r="G151" s="8"/>
      <c r="H151" s="10"/>
      <c r="I151" s="10"/>
      <c r="J151" s="11"/>
    </row>
    <row r="152" customFormat="false" ht="75" hidden="false" customHeight="true" outlineLevel="0" collapsed="false">
      <c r="A152" s="8" t="n">
        <v>151</v>
      </c>
      <c r="B152" s="8" t="n">
        <v>160</v>
      </c>
      <c r="C152" s="9" t="s">
        <v>481</v>
      </c>
      <c r="D152" s="8" t="s">
        <v>386</v>
      </c>
      <c r="E152" s="9" t="s">
        <v>482</v>
      </c>
      <c r="F152" s="8" t="s">
        <v>132</v>
      </c>
      <c r="G152" s="8"/>
      <c r="H152" s="10"/>
      <c r="I152" s="10"/>
      <c r="J152" s="11"/>
    </row>
    <row r="153" customFormat="false" ht="24.75" hidden="false" customHeight="true" outlineLevel="0" collapsed="false">
      <c r="A153" s="8" t="n">
        <v>152</v>
      </c>
      <c r="B153" s="8" t="n">
        <v>161</v>
      </c>
      <c r="C153" s="9" t="s">
        <v>483</v>
      </c>
      <c r="D153" s="8" t="s">
        <v>318</v>
      </c>
      <c r="E153" s="9" t="s">
        <v>484</v>
      </c>
      <c r="F153" s="8" t="s">
        <v>142</v>
      </c>
      <c r="G153" s="8"/>
      <c r="H153" s="10"/>
      <c r="I153" s="10"/>
      <c r="J153" s="11"/>
    </row>
    <row r="154" customFormat="false" ht="15" hidden="false" customHeight="true" outlineLevel="0" collapsed="false">
      <c r="A154" s="8" t="n">
        <v>153</v>
      </c>
      <c r="B154" s="8" t="n">
        <v>163</v>
      </c>
      <c r="C154" s="9" t="s">
        <v>331</v>
      </c>
      <c r="D154" s="8" t="s">
        <v>431</v>
      </c>
      <c r="E154" s="9" t="s">
        <v>485</v>
      </c>
      <c r="F154" s="8" t="s">
        <v>142</v>
      </c>
      <c r="G154" s="8"/>
      <c r="H154" s="10"/>
      <c r="I154" s="10"/>
      <c r="J154" s="11"/>
    </row>
    <row r="155" customFormat="false" ht="24.75" hidden="false" customHeight="true" outlineLevel="0" collapsed="false">
      <c r="A155" s="8" t="n">
        <v>154</v>
      </c>
      <c r="B155" s="8" t="n">
        <v>164</v>
      </c>
      <c r="C155" s="9" t="s">
        <v>435</v>
      </c>
      <c r="D155" s="8" t="s">
        <v>236</v>
      </c>
      <c r="E155" s="9" t="s">
        <v>486</v>
      </c>
      <c r="F155" s="8" t="s">
        <v>132</v>
      </c>
      <c r="G155" s="8"/>
      <c r="H155" s="10"/>
      <c r="I155" s="10"/>
      <c r="J155" s="11"/>
    </row>
    <row r="156" customFormat="false" ht="24.75" hidden="false" customHeight="true" outlineLevel="0" collapsed="false">
      <c r="A156" s="8" t="n">
        <v>155</v>
      </c>
      <c r="B156" s="8" t="n">
        <v>165</v>
      </c>
      <c r="C156" s="9" t="s">
        <v>487</v>
      </c>
      <c r="D156" s="8" t="s">
        <v>488</v>
      </c>
      <c r="E156" s="9" t="s">
        <v>489</v>
      </c>
      <c r="F156" s="8" t="s">
        <v>132</v>
      </c>
      <c r="G156" s="8"/>
      <c r="H156" s="10"/>
      <c r="I156" s="10"/>
      <c r="J156" s="11"/>
    </row>
    <row r="157" customFormat="false" ht="15" hidden="false" customHeight="true" outlineLevel="0" collapsed="false">
      <c r="A157" s="8" t="n">
        <v>156</v>
      </c>
      <c r="B157" s="8" t="n">
        <v>166</v>
      </c>
      <c r="C157" s="9" t="s">
        <v>490</v>
      </c>
      <c r="D157" s="8" t="s">
        <v>491</v>
      </c>
      <c r="E157" s="9" t="s">
        <v>492</v>
      </c>
      <c r="F157" s="8" t="s">
        <v>132</v>
      </c>
      <c r="G157" s="8"/>
      <c r="H157" s="10"/>
      <c r="I157" s="10"/>
      <c r="J157" s="11"/>
    </row>
    <row r="158" customFormat="false" ht="24.75" hidden="false" customHeight="true" outlineLevel="0" collapsed="false">
      <c r="A158" s="8" t="n">
        <v>157</v>
      </c>
      <c r="B158" s="8" t="n">
        <v>168</v>
      </c>
      <c r="C158" s="9" t="s">
        <v>493</v>
      </c>
      <c r="D158" s="8" t="s">
        <v>236</v>
      </c>
      <c r="E158" s="9" t="s">
        <v>494</v>
      </c>
      <c r="F158" s="8" t="s">
        <v>132</v>
      </c>
      <c r="G158" s="8"/>
      <c r="H158" s="10"/>
      <c r="I158" s="10"/>
      <c r="J158" s="11"/>
    </row>
    <row r="159" customFormat="false" ht="24.75" hidden="false" customHeight="true" outlineLevel="0" collapsed="false">
      <c r="A159" s="8" t="n">
        <v>158</v>
      </c>
      <c r="B159" s="8" t="n">
        <v>169</v>
      </c>
      <c r="C159" s="9" t="s">
        <v>495</v>
      </c>
      <c r="D159" s="8" t="s">
        <v>150</v>
      </c>
      <c r="E159" s="9" t="s">
        <v>496</v>
      </c>
      <c r="F159" s="8" t="s">
        <v>132</v>
      </c>
      <c r="G159" s="8"/>
      <c r="H159" s="10"/>
      <c r="I159" s="10"/>
      <c r="J159" s="11"/>
    </row>
    <row r="160" customFormat="false" ht="24.75" hidden="false" customHeight="true" outlineLevel="0" collapsed="false">
      <c r="A160" s="8" t="n">
        <v>159</v>
      </c>
      <c r="B160" s="8" t="n">
        <v>170</v>
      </c>
      <c r="C160" s="9" t="s">
        <v>497</v>
      </c>
      <c r="D160" s="8" t="s">
        <v>498</v>
      </c>
      <c r="E160" s="9" t="s">
        <v>499</v>
      </c>
      <c r="F160" s="8" t="s">
        <v>132</v>
      </c>
      <c r="G160" s="8"/>
      <c r="H160" s="10"/>
      <c r="I160" s="10"/>
      <c r="J160" s="11"/>
    </row>
    <row r="161" customFormat="false" ht="62.25" hidden="false" customHeight="true" outlineLevel="0" collapsed="false">
      <c r="A161" s="8" t="n">
        <v>160</v>
      </c>
      <c r="B161" s="8" t="n">
        <v>171</v>
      </c>
      <c r="C161" s="9" t="s">
        <v>500</v>
      </c>
      <c r="D161" s="8" t="s">
        <v>236</v>
      </c>
      <c r="E161" s="9" t="s">
        <v>501</v>
      </c>
      <c r="F161" s="8" t="s">
        <v>132</v>
      </c>
      <c r="G161" s="8"/>
      <c r="H161" s="10"/>
      <c r="I161" s="10"/>
      <c r="J161" s="11"/>
    </row>
    <row r="162" customFormat="false" ht="37.5" hidden="false" customHeight="true" outlineLevel="0" collapsed="false">
      <c r="A162" s="8" t="n">
        <v>161</v>
      </c>
      <c r="B162" s="8" t="n">
        <v>172</v>
      </c>
      <c r="C162" s="9" t="s">
        <v>502</v>
      </c>
      <c r="D162" s="8" t="s">
        <v>503</v>
      </c>
      <c r="E162" s="9" t="s">
        <v>504</v>
      </c>
      <c r="F162" s="8" t="s">
        <v>128</v>
      </c>
      <c r="G162" s="8"/>
      <c r="H162" s="10"/>
      <c r="I162" s="10"/>
      <c r="J162" s="11"/>
    </row>
    <row r="163" customFormat="false" ht="49.5" hidden="false" customHeight="true" outlineLevel="0" collapsed="false">
      <c r="A163" s="8" t="n">
        <v>162</v>
      </c>
      <c r="B163" s="8" t="n">
        <v>173</v>
      </c>
      <c r="C163" s="9" t="s">
        <v>505</v>
      </c>
      <c r="D163" s="8" t="s">
        <v>506</v>
      </c>
      <c r="E163" s="9" t="s">
        <v>507</v>
      </c>
      <c r="F163" s="8" t="s">
        <v>128</v>
      </c>
      <c r="G163" s="8"/>
      <c r="H163" s="10"/>
      <c r="I163" s="10"/>
      <c r="J163" s="11"/>
    </row>
    <row r="164" customFormat="false" ht="49.5" hidden="false" customHeight="true" outlineLevel="0" collapsed="false">
      <c r="A164" s="8" t="n">
        <v>163</v>
      </c>
      <c r="B164" s="8" t="n">
        <v>174</v>
      </c>
      <c r="C164" s="9" t="s">
        <v>508</v>
      </c>
      <c r="D164" s="8" t="s">
        <v>194</v>
      </c>
      <c r="E164" s="9" t="s">
        <v>509</v>
      </c>
      <c r="F164" s="8" t="s">
        <v>132</v>
      </c>
      <c r="G164" s="8"/>
      <c r="H164" s="10"/>
      <c r="I164" s="10"/>
      <c r="J164" s="11"/>
    </row>
    <row r="165" customFormat="false" ht="15" hidden="false" customHeight="true" outlineLevel="0" collapsed="false">
      <c r="A165" s="8" t="n">
        <v>164</v>
      </c>
      <c r="B165" s="8" t="n">
        <v>175</v>
      </c>
      <c r="C165" s="9" t="s">
        <v>230</v>
      </c>
      <c r="D165" s="8" t="s">
        <v>395</v>
      </c>
      <c r="E165" s="9" t="s">
        <v>510</v>
      </c>
      <c r="F165" s="8" t="s">
        <v>132</v>
      </c>
      <c r="G165" s="8"/>
      <c r="H165" s="10"/>
      <c r="I165" s="10"/>
      <c r="J165" s="11"/>
    </row>
    <row r="166" customFormat="false" ht="75" hidden="false" customHeight="true" outlineLevel="0" collapsed="false">
      <c r="A166" s="8" t="n">
        <v>165</v>
      </c>
      <c r="B166" s="8" t="n">
        <v>176</v>
      </c>
      <c r="C166" s="9" t="s">
        <v>184</v>
      </c>
      <c r="D166" s="8" t="s">
        <v>511</v>
      </c>
      <c r="E166" s="9" t="s">
        <v>512</v>
      </c>
      <c r="F166" s="8" t="s">
        <v>132</v>
      </c>
      <c r="G166" s="8"/>
      <c r="H166" s="10"/>
      <c r="I166" s="10"/>
      <c r="J166" s="11"/>
    </row>
    <row r="167" customFormat="false" ht="49.5" hidden="false" customHeight="true" outlineLevel="0" collapsed="false">
      <c r="A167" s="8" t="n">
        <v>166</v>
      </c>
      <c r="B167" s="8" t="n">
        <v>177</v>
      </c>
      <c r="C167" s="9" t="s">
        <v>513</v>
      </c>
      <c r="D167" s="8" t="s">
        <v>395</v>
      </c>
      <c r="E167" s="9" t="s">
        <v>514</v>
      </c>
      <c r="F167" s="8" t="s">
        <v>142</v>
      </c>
      <c r="G167" s="8"/>
      <c r="H167" s="10"/>
      <c r="I167" s="10"/>
      <c r="J167" s="11"/>
    </row>
    <row r="168" customFormat="false" ht="62.25" hidden="false" customHeight="true" outlineLevel="0" collapsed="false">
      <c r="A168" s="8" t="n">
        <v>167</v>
      </c>
      <c r="B168" s="8" t="n">
        <v>178</v>
      </c>
      <c r="C168" s="9" t="s">
        <v>515</v>
      </c>
      <c r="D168" s="8" t="s">
        <v>516</v>
      </c>
      <c r="E168" s="9" t="s">
        <v>517</v>
      </c>
      <c r="F168" s="8" t="s">
        <v>132</v>
      </c>
      <c r="G168" s="8"/>
      <c r="H168" s="10"/>
      <c r="I168" s="10"/>
      <c r="J168" s="11"/>
    </row>
    <row r="169" customFormat="false" ht="87" hidden="false" customHeight="true" outlineLevel="0" collapsed="false">
      <c r="A169" s="8" t="n">
        <v>168</v>
      </c>
      <c r="B169" s="8" t="n">
        <v>179</v>
      </c>
      <c r="C169" s="9" t="s">
        <v>518</v>
      </c>
      <c r="D169" s="8" t="s">
        <v>516</v>
      </c>
      <c r="E169" s="9" t="s">
        <v>519</v>
      </c>
      <c r="F169" s="8" t="s">
        <v>132</v>
      </c>
      <c r="G169" s="8"/>
      <c r="H169" s="10"/>
      <c r="I169" s="10"/>
      <c r="J169" s="11"/>
    </row>
    <row r="170" customFormat="false" ht="24.75" hidden="false" customHeight="true" outlineLevel="0" collapsed="false">
      <c r="A170" s="8" t="n">
        <v>169</v>
      </c>
      <c r="B170" s="8" t="n">
        <v>180</v>
      </c>
      <c r="C170" s="9" t="s">
        <v>520</v>
      </c>
      <c r="D170" s="8" t="s">
        <v>521</v>
      </c>
      <c r="E170" s="9" t="s">
        <v>522</v>
      </c>
      <c r="F170" s="8" t="s">
        <v>132</v>
      </c>
      <c r="G170" s="8"/>
      <c r="H170" s="10"/>
      <c r="I170" s="10"/>
      <c r="J170" s="11"/>
    </row>
    <row r="171" customFormat="false" ht="62.25" hidden="false" customHeight="true" outlineLevel="0" collapsed="false">
      <c r="A171" s="8" t="n">
        <v>170</v>
      </c>
      <c r="B171" s="8" t="n">
        <v>181</v>
      </c>
      <c r="C171" s="9" t="s">
        <v>523</v>
      </c>
      <c r="D171" s="8" t="s">
        <v>165</v>
      </c>
      <c r="E171" s="9" t="s">
        <v>524</v>
      </c>
      <c r="F171" s="8" t="s">
        <v>132</v>
      </c>
      <c r="G171" s="8"/>
      <c r="H171" s="10"/>
      <c r="I171" s="10"/>
      <c r="J171" s="11"/>
    </row>
    <row r="172" customFormat="false" ht="49.5" hidden="false" customHeight="true" outlineLevel="0" collapsed="false">
      <c r="A172" s="8" t="n">
        <v>171</v>
      </c>
      <c r="B172" s="8" t="n">
        <v>182</v>
      </c>
      <c r="C172" s="9" t="s">
        <v>525</v>
      </c>
      <c r="D172" s="8" t="s">
        <v>526</v>
      </c>
      <c r="E172" s="9" t="s">
        <v>527</v>
      </c>
      <c r="F172" s="8" t="s">
        <v>132</v>
      </c>
      <c r="G172" s="8"/>
      <c r="H172" s="10"/>
      <c r="I172" s="10"/>
      <c r="J172" s="11"/>
    </row>
    <row r="173" customFormat="false" ht="75" hidden="false" customHeight="true" outlineLevel="0" collapsed="false">
      <c r="A173" s="8" t="n">
        <v>172</v>
      </c>
      <c r="B173" s="8" t="n">
        <v>183</v>
      </c>
      <c r="C173" s="9" t="s">
        <v>528</v>
      </c>
      <c r="D173" s="8" t="s">
        <v>529</v>
      </c>
      <c r="E173" s="9" t="s">
        <v>530</v>
      </c>
      <c r="F173" s="8" t="s">
        <v>132</v>
      </c>
      <c r="G173" s="8"/>
      <c r="H173" s="10"/>
      <c r="I173" s="10"/>
      <c r="J173" s="11"/>
    </row>
    <row r="174" customFormat="false" ht="49.5" hidden="false" customHeight="true" outlineLevel="0" collapsed="false">
      <c r="A174" s="8" t="n">
        <v>173</v>
      </c>
      <c r="B174" s="8" t="n">
        <v>184</v>
      </c>
      <c r="C174" s="9" t="s">
        <v>528</v>
      </c>
      <c r="D174" s="8" t="s">
        <v>529</v>
      </c>
      <c r="E174" s="9" t="s">
        <v>531</v>
      </c>
      <c r="F174" s="8" t="s">
        <v>132</v>
      </c>
      <c r="G174" s="8"/>
      <c r="H174" s="10"/>
      <c r="I174" s="10"/>
      <c r="J174" s="11"/>
    </row>
    <row r="175" customFormat="false" ht="87" hidden="false" customHeight="true" outlineLevel="0" collapsed="false">
      <c r="A175" s="8" t="n">
        <v>174</v>
      </c>
      <c r="B175" s="8" t="n">
        <v>185</v>
      </c>
      <c r="C175" s="9" t="s">
        <v>532</v>
      </c>
      <c r="D175" s="8" t="s">
        <v>533</v>
      </c>
      <c r="E175" s="9" t="s">
        <v>534</v>
      </c>
      <c r="F175" s="8" t="s">
        <v>142</v>
      </c>
      <c r="G175" s="8"/>
      <c r="H175" s="10"/>
      <c r="I175" s="10"/>
      <c r="J175" s="11"/>
    </row>
    <row r="176" customFormat="false" ht="49.5" hidden="false" customHeight="true" outlineLevel="0" collapsed="false">
      <c r="A176" s="8" t="n">
        <v>175</v>
      </c>
      <c r="B176" s="8" t="n">
        <v>187</v>
      </c>
      <c r="C176" s="9" t="s">
        <v>535</v>
      </c>
      <c r="D176" s="8" t="s">
        <v>271</v>
      </c>
      <c r="E176" s="9" t="s">
        <v>536</v>
      </c>
      <c r="F176" s="8" t="s">
        <v>132</v>
      </c>
      <c r="G176" s="8"/>
      <c r="H176" s="10"/>
      <c r="I176" s="10"/>
      <c r="J176" s="11"/>
    </row>
    <row r="177" customFormat="false" ht="37.5" hidden="false" customHeight="true" outlineLevel="0" collapsed="false">
      <c r="A177" s="8" t="n">
        <v>176</v>
      </c>
      <c r="B177" s="8" t="n">
        <v>188</v>
      </c>
      <c r="C177" s="9" t="s">
        <v>537</v>
      </c>
      <c r="D177" s="8" t="s">
        <v>516</v>
      </c>
      <c r="E177" s="9" t="s">
        <v>538</v>
      </c>
      <c r="F177" s="8" t="s">
        <v>142</v>
      </c>
      <c r="G177" s="8"/>
      <c r="H177" s="10"/>
      <c r="I177" s="10"/>
      <c r="J177" s="11"/>
    </row>
    <row r="178" customFormat="false" ht="37.5" hidden="false" customHeight="true" outlineLevel="0" collapsed="false">
      <c r="A178" s="8" t="n">
        <v>177</v>
      </c>
      <c r="B178" s="8" t="n">
        <v>189</v>
      </c>
      <c r="C178" s="9" t="s">
        <v>539</v>
      </c>
      <c r="D178" s="8" t="s">
        <v>540</v>
      </c>
      <c r="E178" s="9" t="s">
        <v>541</v>
      </c>
      <c r="F178" s="8" t="s">
        <v>132</v>
      </c>
      <c r="G178" s="8"/>
      <c r="H178" s="10"/>
      <c r="I178" s="10"/>
      <c r="J178" s="11"/>
    </row>
    <row r="179" customFormat="false" ht="75" hidden="false" customHeight="true" outlineLevel="0" collapsed="false">
      <c r="A179" s="8" t="n">
        <v>178</v>
      </c>
      <c r="B179" s="8" t="n">
        <v>191</v>
      </c>
      <c r="C179" s="9" t="s">
        <v>184</v>
      </c>
      <c r="D179" s="8"/>
      <c r="E179" s="9" t="s">
        <v>542</v>
      </c>
      <c r="F179" s="8" t="s">
        <v>142</v>
      </c>
      <c r="G179" s="8"/>
      <c r="H179" s="10"/>
      <c r="I179" s="10"/>
      <c r="J179" s="11"/>
    </row>
    <row r="180" customFormat="false" ht="75" hidden="false" customHeight="true" outlineLevel="0" collapsed="false">
      <c r="A180" s="8" t="n">
        <v>179</v>
      </c>
      <c r="B180" s="8" t="n">
        <v>194</v>
      </c>
      <c r="C180" s="9" t="s">
        <v>543</v>
      </c>
      <c r="D180" s="8"/>
      <c r="E180" s="9" t="s">
        <v>544</v>
      </c>
      <c r="F180" s="8" t="s">
        <v>142</v>
      </c>
      <c r="G180" s="8"/>
      <c r="H180" s="10"/>
      <c r="I180" s="10"/>
      <c r="J180" s="11"/>
    </row>
    <row r="181" customFormat="false" ht="37.5" hidden="false" customHeight="true" outlineLevel="0" collapsed="false">
      <c r="A181" s="8" t="n">
        <v>180</v>
      </c>
      <c r="B181" s="8" t="n">
        <v>195</v>
      </c>
      <c r="C181" s="9" t="s">
        <v>230</v>
      </c>
      <c r="D181" s="8"/>
      <c r="E181" s="9" t="s">
        <v>545</v>
      </c>
      <c r="F181" s="8" t="s">
        <v>132</v>
      </c>
      <c r="G181" s="8"/>
      <c r="H181" s="10"/>
      <c r="I181" s="10"/>
      <c r="J181" s="11"/>
    </row>
    <row r="182" customFormat="false" ht="49.5" hidden="false" customHeight="true" outlineLevel="0" collapsed="false">
      <c r="A182" s="8" t="n">
        <v>181</v>
      </c>
      <c r="B182" s="8" t="n">
        <v>196</v>
      </c>
      <c r="C182" s="9" t="s">
        <v>546</v>
      </c>
      <c r="D182" s="8"/>
      <c r="E182" s="9" t="s">
        <v>547</v>
      </c>
      <c r="F182" s="8" t="s">
        <v>132</v>
      </c>
      <c r="G182" s="8"/>
      <c r="H182" s="10"/>
      <c r="I182" s="10"/>
      <c r="J182" s="11"/>
    </row>
    <row r="183" customFormat="false" ht="62.25" hidden="false" customHeight="true" outlineLevel="0" collapsed="false">
      <c r="A183" s="8" t="n">
        <v>182</v>
      </c>
      <c r="B183" s="8" t="n">
        <v>197</v>
      </c>
      <c r="C183" s="9" t="s">
        <v>548</v>
      </c>
      <c r="D183" s="8"/>
      <c r="E183" s="9" t="s">
        <v>549</v>
      </c>
      <c r="F183" s="8" t="s">
        <v>142</v>
      </c>
      <c r="G183" s="8"/>
      <c r="H183" s="10"/>
      <c r="I183" s="10"/>
      <c r="J183" s="11"/>
    </row>
    <row r="184" customFormat="false" ht="24.75" hidden="false" customHeight="true" outlineLevel="0" collapsed="false">
      <c r="A184" s="8" t="n">
        <v>183</v>
      </c>
      <c r="B184" s="8" t="n">
        <v>198</v>
      </c>
      <c r="C184" s="9" t="s">
        <v>550</v>
      </c>
      <c r="D184" s="8"/>
      <c r="E184" s="9" t="s">
        <v>551</v>
      </c>
      <c r="F184" s="8" t="s">
        <v>128</v>
      </c>
      <c r="G184" s="8"/>
      <c r="H184" s="10"/>
      <c r="I184" s="10"/>
      <c r="J184" s="11"/>
    </row>
    <row r="185" customFormat="false" ht="24.75" hidden="false" customHeight="true" outlineLevel="0" collapsed="false">
      <c r="A185" s="8" t="n">
        <v>184</v>
      </c>
      <c r="B185" s="8" t="n">
        <v>199</v>
      </c>
      <c r="C185" s="9" t="s">
        <v>552</v>
      </c>
      <c r="D185" s="8"/>
      <c r="E185" s="9" t="s">
        <v>553</v>
      </c>
      <c r="F185" s="8" t="s">
        <v>132</v>
      </c>
      <c r="G185" s="8"/>
      <c r="H185" s="10"/>
      <c r="I185" s="10"/>
      <c r="J185" s="11"/>
    </row>
    <row r="186" customFormat="false" ht="15" hidden="false" customHeight="true" outlineLevel="0" collapsed="false">
      <c r="A186" s="8" t="n">
        <v>185</v>
      </c>
      <c r="B186" s="8" t="n">
        <v>200</v>
      </c>
      <c r="C186" s="9" t="s">
        <v>554</v>
      </c>
      <c r="D186" s="8"/>
      <c r="E186" s="9" t="s">
        <v>555</v>
      </c>
      <c r="F186" s="8" t="s">
        <v>128</v>
      </c>
      <c r="G186" s="8"/>
      <c r="H186" s="10"/>
      <c r="I186" s="10"/>
      <c r="J186" s="11"/>
    </row>
    <row r="187" customFormat="false" ht="37.5" hidden="false" customHeight="true" outlineLevel="0" collapsed="false">
      <c r="A187" s="8" t="n">
        <v>186</v>
      </c>
      <c r="B187" s="8" t="n">
        <v>201</v>
      </c>
      <c r="C187" s="9" t="s">
        <v>556</v>
      </c>
      <c r="D187" s="8"/>
      <c r="E187" s="9" t="s">
        <v>557</v>
      </c>
      <c r="F187" s="8" t="s">
        <v>132</v>
      </c>
      <c r="G187" s="8"/>
      <c r="H187" s="10"/>
      <c r="I187" s="10"/>
      <c r="J187" s="11"/>
    </row>
    <row r="188" customFormat="false" ht="24.75" hidden="false" customHeight="true" outlineLevel="0" collapsed="false">
      <c r="A188" s="8" t="n">
        <v>187</v>
      </c>
      <c r="B188" s="8" t="n">
        <v>202</v>
      </c>
      <c r="C188" s="9" t="s">
        <v>414</v>
      </c>
      <c r="D188" s="8"/>
      <c r="E188" s="9" t="s">
        <v>558</v>
      </c>
      <c r="F188" s="8" t="s">
        <v>128</v>
      </c>
      <c r="G188" s="8"/>
      <c r="H188" s="10"/>
      <c r="I188" s="10"/>
      <c r="J188" s="11"/>
    </row>
    <row r="189" customFormat="false" ht="62.25" hidden="false" customHeight="true" outlineLevel="0" collapsed="false">
      <c r="A189" s="8" t="n">
        <v>188</v>
      </c>
      <c r="B189" s="8" t="n">
        <v>204</v>
      </c>
      <c r="C189" s="9" t="s">
        <v>559</v>
      </c>
      <c r="D189" s="8"/>
      <c r="E189" s="9" t="s">
        <v>560</v>
      </c>
      <c r="F189" s="8" t="s">
        <v>142</v>
      </c>
      <c r="G189" s="8"/>
      <c r="H189" s="10"/>
      <c r="I189" s="10"/>
      <c r="J189" s="11"/>
    </row>
    <row r="190" customFormat="false" ht="62.25" hidden="false" customHeight="true" outlineLevel="0" collapsed="false">
      <c r="A190" s="8" t="n">
        <v>189</v>
      </c>
      <c r="B190" s="8" t="n">
        <v>205</v>
      </c>
      <c r="C190" s="9" t="s">
        <v>561</v>
      </c>
      <c r="D190" s="8"/>
      <c r="E190" s="9" t="s">
        <v>562</v>
      </c>
      <c r="F190" s="8" t="s">
        <v>142</v>
      </c>
      <c r="G190" s="8"/>
      <c r="H190" s="10"/>
      <c r="I190" s="10"/>
      <c r="J190" s="11"/>
    </row>
    <row r="191" customFormat="false" ht="37.5" hidden="false" customHeight="true" outlineLevel="0" collapsed="false">
      <c r="A191" s="8" t="n">
        <v>190</v>
      </c>
      <c r="B191" s="8" t="n">
        <v>206</v>
      </c>
      <c r="C191" s="9" t="s">
        <v>563</v>
      </c>
      <c r="D191" s="8"/>
      <c r="E191" s="9" t="s">
        <v>564</v>
      </c>
      <c r="F191" s="8" t="s">
        <v>142</v>
      </c>
      <c r="G191" s="8"/>
      <c r="H191" s="10"/>
      <c r="I191" s="10"/>
      <c r="J191" s="11"/>
    </row>
    <row r="192" customFormat="false" ht="15" hidden="false" customHeight="true" outlineLevel="0" collapsed="false">
      <c r="A192" s="8" t="n">
        <v>191</v>
      </c>
      <c r="B192" s="8" t="n">
        <v>208</v>
      </c>
      <c r="C192" s="9" t="s">
        <v>565</v>
      </c>
      <c r="D192" s="8"/>
      <c r="E192" s="9" t="s">
        <v>566</v>
      </c>
      <c r="F192" s="8" t="s">
        <v>128</v>
      </c>
      <c r="G192" s="8"/>
      <c r="H192" s="10"/>
      <c r="I192" s="10"/>
      <c r="J192" s="11"/>
    </row>
    <row r="193" customFormat="false" ht="75" hidden="false" customHeight="true" outlineLevel="0" collapsed="false">
      <c r="A193" s="8" t="n">
        <v>192</v>
      </c>
      <c r="B193" s="8" t="n">
        <v>211</v>
      </c>
      <c r="C193" s="9" t="s">
        <v>406</v>
      </c>
      <c r="D193" s="8"/>
      <c r="E193" s="9" t="s">
        <v>567</v>
      </c>
      <c r="F193" s="8" t="s">
        <v>128</v>
      </c>
      <c r="G193" s="8"/>
      <c r="H193" s="10"/>
      <c r="I193" s="10"/>
      <c r="J193" s="11"/>
    </row>
    <row r="194" customFormat="false" ht="37.5" hidden="false" customHeight="true" outlineLevel="0" collapsed="false">
      <c r="A194" s="8" t="n">
        <v>193</v>
      </c>
      <c r="B194" s="8" t="n">
        <v>213</v>
      </c>
      <c r="C194" s="9" t="s">
        <v>568</v>
      </c>
      <c r="D194" s="8"/>
      <c r="E194" s="9" t="s">
        <v>569</v>
      </c>
      <c r="F194" s="8" t="s">
        <v>132</v>
      </c>
      <c r="G194" s="8"/>
      <c r="H194" s="10"/>
      <c r="I194" s="10"/>
      <c r="J194" s="11"/>
    </row>
    <row r="195" customFormat="false" ht="49.5" hidden="false" customHeight="true" outlineLevel="0" collapsed="false">
      <c r="A195" s="8" t="n">
        <v>194</v>
      </c>
      <c r="B195" s="8" t="n">
        <v>214</v>
      </c>
      <c r="C195" s="9" t="s">
        <v>570</v>
      </c>
      <c r="D195" s="8"/>
      <c r="E195" s="9" t="s">
        <v>571</v>
      </c>
      <c r="F195" s="8" t="s">
        <v>132</v>
      </c>
      <c r="G195" s="8"/>
      <c r="H195" s="10"/>
      <c r="I195" s="10"/>
      <c r="J195" s="11"/>
    </row>
    <row r="196" customFormat="false" ht="75" hidden="false" customHeight="true" outlineLevel="0" collapsed="false">
      <c r="A196" s="8" t="n">
        <v>195</v>
      </c>
      <c r="B196" s="8" t="n">
        <v>215</v>
      </c>
      <c r="C196" s="9" t="s">
        <v>572</v>
      </c>
      <c r="D196" s="8"/>
      <c r="E196" s="9" t="s">
        <v>573</v>
      </c>
      <c r="F196" s="8" t="s">
        <v>132</v>
      </c>
      <c r="G196" s="8"/>
      <c r="H196" s="10"/>
      <c r="I196" s="10"/>
      <c r="J196" s="11"/>
    </row>
    <row r="197" customFormat="false" ht="49.5" hidden="false" customHeight="true" outlineLevel="0" collapsed="false">
      <c r="A197" s="8" t="n">
        <v>196</v>
      </c>
      <c r="B197" s="8" t="n">
        <v>216</v>
      </c>
      <c r="C197" s="9" t="s">
        <v>574</v>
      </c>
      <c r="D197" s="8"/>
      <c r="E197" s="9" t="s">
        <v>575</v>
      </c>
      <c r="F197" s="8" t="s">
        <v>132</v>
      </c>
      <c r="G197" s="8"/>
      <c r="H197" s="10"/>
      <c r="I197" s="10"/>
      <c r="J197" s="11"/>
    </row>
    <row r="198" customFormat="false" ht="49.5" hidden="false" customHeight="true" outlineLevel="0" collapsed="false">
      <c r="A198" s="8" t="n">
        <v>197</v>
      </c>
      <c r="B198" s="8" t="n">
        <v>217</v>
      </c>
      <c r="C198" s="9" t="s">
        <v>402</v>
      </c>
      <c r="D198" s="8"/>
      <c r="E198" s="9" t="s">
        <v>576</v>
      </c>
      <c r="F198" s="8" t="s">
        <v>142</v>
      </c>
      <c r="G198" s="8"/>
      <c r="H198" s="10"/>
      <c r="I198" s="10"/>
      <c r="J198" s="11"/>
    </row>
    <row r="199" customFormat="false" ht="49.5" hidden="false" customHeight="true" outlineLevel="0" collapsed="false">
      <c r="A199" s="8" t="n">
        <v>198</v>
      </c>
      <c r="B199" s="8" t="n">
        <v>219</v>
      </c>
      <c r="C199" s="9" t="s">
        <v>577</v>
      </c>
      <c r="D199" s="8"/>
      <c r="E199" s="9" t="s">
        <v>578</v>
      </c>
      <c r="F199" s="8" t="s">
        <v>132</v>
      </c>
      <c r="G199" s="8"/>
      <c r="H199" s="10"/>
      <c r="I199" s="10"/>
      <c r="J199" s="11"/>
    </row>
    <row r="200" customFormat="false" ht="37.5" hidden="false" customHeight="true" outlineLevel="0" collapsed="false">
      <c r="A200" s="8" t="n">
        <v>199</v>
      </c>
      <c r="B200" s="8" t="n">
        <v>220</v>
      </c>
      <c r="C200" s="9" t="s">
        <v>579</v>
      </c>
      <c r="D200" s="8"/>
      <c r="E200" s="9" t="s">
        <v>580</v>
      </c>
      <c r="F200" s="8" t="s">
        <v>128</v>
      </c>
      <c r="G200" s="8"/>
      <c r="H200" s="10"/>
      <c r="I200" s="10"/>
      <c r="J200" s="11"/>
    </row>
    <row r="201" customFormat="false" ht="24.75" hidden="false" customHeight="true" outlineLevel="0" collapsed="false">
      <c r="A201" s="8" t="n">
        <v>200</v>
      </c>
      <c r="B201" s="8" t="n">
        <v>221</v>
      </c>
      <c r="C201" s="9" t="s">
        <v>581</v>
      </c>
      <c r="D201" s="8"/>
      <c r="E201" s="9" t="s">
        <v>582</v>
      </c>
      <c r="F201" s="8" t="s">
        <v>132</v>
      </c>
      <c r="G201" s="8"/>
      <c r="H201" s="10"/>
      <c r="I201" s="10"/>
      <c r="J201" s="11"/>
    </row>
    <row r="202" customFormat="false" ht="37.5" hidden="false" customHeight="true" outlineLevel="0" collapsed="false">
      <c r="A202" s="8" t="n">
        <v>201</v>
      </c>
      <c r="B202" s="8" t="n">
        <v>223</v>
      </c>
      <c r="C202" s="9" t="s">
        <v>583</v>
      </c>
      <c r="D202" s="8"/>
      <c r="E202" s="9" t="s">
        <v>584</v>
      </c>
      <c r="F202" s="8" t="s">
        <v>132</v>
      </c>
      <c r="G202" s="8"/>
      <c r="H202" s="10"/>
      <c r="I202" s="10"/>
      <c r="J202" s="11"/>
    </row>
    <row r="203" customFormat="false" ht="24.75" hidden="false" customHeight="true" outlineLevel="0" collapsed="false">
      <c r="A203" s="8" t="n">
        <v>202</v>
      </c>
      <c r="B203" s="8" t="n">
        <v>224</v>
      </c>
      <c r="C203" s="9" t="s">
        <v>585</v>
      </c>
      <c r="D203" s="8"/>
      <c r="E203" s="9" t="s">
        <v>586</v>
      </c>
      <c r="F203" s="8" t="s">
        <v>132</v>
      </c>
      <c r="G203" s="8"/>
      <c r="H203" s="10"/>
      <c r="I203" s="10"/>
      <c r="J203" s="11"/>
    </row>
    <row r="204" customFormat="false" ht="37.5" hidden="false" customHeight="true" outlineLevel="0" collapsed="false">
      <c r="A204" s="8" t="n">
        <v>203</v>
      </c>
      <c r="B204" s="8" t="n">
        <v>225</v>
      </c>
      <c r="C204" s="9" t="s">
        <v>587</v>
      </c>
      <c r="D204" s="8"/>
      <c r="E204" s="9" t="s">
        <v>588</v>
      </c>
      <c r="F204" s="8" t="s">
        <v>132</v>
      </c>
      <c r="G204" s="8"/>
      <c r="H204" s="10"/>
      <c r="I204" s="10"/>
      <c r="J204" s="11"/>
    </row>
    <row r="205" customFormat="false" ht="24.75" hidden="false" customHeight="true" outlineLevel="0" collapsed="false">
      <c r="A205" s="8" t="n">
        <v>204</v>
      </c>
      <c r="B205" s="8" t="n">
        <v>226</v>
      </c>
      <c r="C205" s="9" t="s">
        <v>589</v>
      </c>
      <c r="D205" s="8"/>
      <c r="E205" s="9" t="s">
        <v>590</v>
      </c>
      <c r="F205" s="8" t="s">
        <v>132</v>
      </c>
      <c r="G205" s="8"/>
      <c r="H205" s="10"/>
      <c r="I205" s="10"/>
      <c r="J205" s="11"/>
    </row>
    <row r="206" customFormat="false" ht="24.75" hidden="false" customHeight="true" outlineLevel="0" collapsed="false">
      <c r="A206" s="8" t="n">
        <v>205</v>
      </c>
      <c r="B206" s="8" t="n">
        <v>227</v>
      </c>
      <c r="C206" s="9" t="s">
        <v>591</v>
      </c>
      <c r="D206" s="8"/>
      <c r="E206" s="9" t="s">
        <v>592</v>
      </c>
      <c r="F206" s="8" t="s">
        <v>142</v>
      </c>
      <c r="G206" s="8"/>
      <c r="H206" s="10"/>
      <c r="I206" s="10"/>
      <c r="J206" s="11"/>
    </row>
    <row r="207" customFormat="false" ht="24.75" hidden="false" customHeight="true" outlineLevel="0" collapsed="false">
      <c r="A207" s="8" t="n">
        <v>206</v>
      </c>
      <c r="B207" s="8" t="n">
        <v>229</v>
      </c>
      <c r="C207" s="9" t="s">
        <v>593</v>
      </c>
      <c r="D207" s="8"/>
      <c r="E207" s="9" t="s">
        <v>594</v>
      </c>
      <c r="F207" s="8" t="s">
        <v>132</v>
      </c>
      <c r="G207" s="8"/>
      <c r="H207" s="10"/>
      <c r="I207" s="10"/>
      <c r="J207" s="11"/>
    </row>
    <row r="208" customFormat="false" ht="15" hidden="false" customHeight="true" outlineLevel="0" collapsed="false">
      <c r="A208" s="8" t="n">
        <v>207</v>
      </c>
      <c r="B208" s="8" t="n">
        <v>230</v>
      </c>
      <c r="C208" s="9" t="s">
        <v>595</v>
      </c>
      <c r="D208" s="8"/>
      <c r="E208" s="9" t="s">
        <v>596</v>
      </c>
      <c r="F208" s="8" t="s">
        <v>132</v>
      </c>
      <c r="G208" s="8"/>
      <c r="H208" s="10"/>
      <c r="I208" s="10"/>
      <c r="J208" s="11"/>
    </row>
    <row r="209" customFormat="false" ht="15" hidden="false" customHeight="true" outlineLevel="0" collapsed="false">
      <c r="A209" s="8" t="n">
        <v>208</v>
      </c>
      <c r="B209" s="8" t="n">
        <v>231</v>
      </c>
      <c r="C209" s="9" t="s">
        <v>597</v>
      </c>
      <c r="D209" s="8"/>
      <c r="E209" s="9" t="s">
        <v>598</v>
      </c>
      <c r="F209" s="8" t="s">
        <v>132</v>
      </c>
      <c r="G209" s="8"/>
      <c r="H209" s="10"/>
      <c r="I209" s="10"/>
      <c r="J209" s="11"/>
    </row>
    <row r="210" customFormat="false" ht="24.75" hidden="false" customHeight="true" outlineLevel="0" collapsed="false">
      <c r="A210" s="8" t="n">
        <v>209</v>
      </c>
      <c r="B210" s="8" t="n">
        <v>232</v>
      </c>
      <c r="C210" s="9" t="s">
        <v>599</v>
      </c>
      <c r="D210" s="8"/>
      <c r="E210" s="9" t="s">
        <v>600</v>
      </c>
      <c r="F210" s="8" t="s">
        <v>132</v>
      </c>
      <c r="G210" s="8"/>
      <c r="H210" s="10"/>
      <c r="I210" s="10"/>
      <c r="J210" s="11"/>
    </row>
    <row r="211" customFormat="false" ht="24.75" hidden="false" customHeight="true" outlineLevel="0" collapsed="false">
      <c r="A211" s="8" t="n">
        <v>210</v>
      </c>
      <c r="B211" s="8" t="n">
        <v>233</v>
      </c>
      <c r="C211" s="9" t="s">
        <v>601</v>
      </c>
      <c r="D211" s="8"/>
      <c r="E211" s="9" t="s">
        <v>602</v>
      </c>
      <c r="F211" s="8" t="s">
        <v>132</v>
      </c>
      <c r="G211" s="8"/>
      <c r="H211" s="10"/>
      <c r="I211" s="10"/>
      <c r="J211" s="11"/>
    </row>
    <row r="212" customFormat="false" ht="24.75" hidden="false" customHeight="true" outlineLevel="0" collapsed="false">
      <c r="A212" s="8" t="n">
        <v>211</v>
      </c>
      <c r="B212" s="8" t="n">
        <v>234</v>
      </c>
      <c r="C212" s="9" t="s">
        <v>603</v>
      </c>
      <c r="D212" s="8"/>
      <c r="E212" s="9" t="s">
        <v>604</v>
      </c>
      <c r="F212" s="8" t="s">
        <v>132</v>
      </c>
      <c r="G212" s="8"/>
      <c r="H212" s="10"/>
      <c r="I212" s="10"/>
      <c r="J212" s="11"/>
    </row>
    <row r="213" customFormat="false" ht="37.5" hidden="false" customHeight="true" outlineLevel="0" collapsed="false">
      <c r="A213" s="8" t="n">
        <v>212</v>
      </c>
      <c r="B213" s="8" t="n">
        <v>235</v>
      </c>
      <c r="C213" s="9" t="s">
        <v>605</v>
      </c>
      <c r="D213" s="8"/>
      <c r="E213" s="9" t="s">
        <v>606</v>
      </c>
      <c r="F213" s="8" t="s">
        <v>132</v>
      </c>
      <c r="G213" s="8"/>
      <c r="H213" s="10"/>
      <c r="I213" s="10"/>
      <c r="J213" s="11"/>
    </row>
    <row r="214" customFormat="false" ht="37.5" hidden="false" customHeight="true" outlineLevel="0" collapsed="false">
      <c r="A214" s="8" t="n">
        <v>213</v>
      </c>
      <c r="B214" s="8" t="n">
        <v>236</v>
      </c>
      <c r="C214" s="9" t="s">
        <v>607</v>
      </c>
      <c r="D214" s="8"/>
      <c r="E214" s="9" t="s">
        <v>608</v>
      </c>
      <c r="F214" s="8" t="s">
        <v>128</v>
      </c>
      <c r="G214" s="8"/>
      <c r="H214" s="10"/>
      <c r="I214" s="10"/>
      <c r="J214" s="11"/>
    </row>
    <row r="215" customFormat="false" ht="24.75" hidden="false" customHeight="true" outlineLevel="0" collapsed="false">
      <c r="A215" s="8" t="n">
        <v>214</v>
      </c>
      <c r="B215" s="8" t="n">
        <v>237</v>
      </c>
      <c r="C215" s="9" t="s">
        <v>609</v>
      </c>
      <c r="D215" s="8"/>
      <c r="E215" s="9" t="s">
        <v>610</v>
      </c>
      <c r="F215" s="8" t="s">
        <v>132</v>
      </c>
      <c r="G215" s="8"/>
      <c r="H215" s="10"/>
      <c r="I215" s="10"/>
      <c r="J215" s="11"/>
    </row>
    <row r="216" customFormat="false" ht="49.5" hidden="false" customHeight="true" outlineLevel="0" collapsed="false">
      <c r="A216" s="8" t="n">
        <v>215</v>
      </c>
      <c r="B216" s="8" t="n">
        <v>238</v>
      </c>
      <c r="C216" s="9" t="s">
        <v>611</v>
      </c>
      <c r="D216" s="8"/>
      <c r="E216" s="9" t="s">
        <v>612</v>
      </c>
      <c r="F216" s="8" t="s">
        <v>128</v>
      </c>
      <c r="G216" s="8"/>
      <c r="H216" s="10"/>
      <c r="I216" s="10"/>
      <c r="J216" s="11"/>
    </row>
    <row r="217" customFormat="false" ht="24.75" hidden="false" customHeight="true" outlineLevel="0" collapsed="false">
      <c r="A217" s="8" t="n">
        <v>216</v>
      </c>
      <c r="B217" s="8" t="n">
        <v>239</v>
      </c>
      <c r="C217" s="9" t="s">
        <v>613</v>
      </c>
      <c r="D217" s="8"/>
      <c r="E217" s="9" t="s">
        <v>614</v>
      </c>
      <c r="F217" s="8" t="s">
        <v>142</v>
      </c>
      <c r="G217" s="8"/>
      <c r="H217" s="10"/>
      <c r="I217" s="10"/>
      <c r="J217" s="11"/>
    </row>
    <row r="218" customFormat="false" ht="49.5" hidden="false" customHeight="true" outlineLevel="0" collapsed="false">
      <c r="A218" s="8" t="n">
        <v>217</v>
      </c>
      <c r="B218" s="8" t="n">
        <v>241</v>
      </c>
      <c r="C218" s="9" t="s">
        <v>615</v>
      </c>
      <c r="D218" s="8"/>
      <c r="E218" s="9" t="s">
        <v>616</v>
      </c>
      <c r="F218" s="8" t="s">
        <v>132</v>
      </c>
      <c r="G218" s="8"/>
      <c r="H218" s="10"/>
      <c r="I218" s="10"/>
      <c r="J218" s="11"/>
    </row>
    <row r="219" customFormat="false" ht="37.5" hidden="false" customHeight="true" outlineLevel="0" collapsed="false">
      <c r="A219" s="8" t="n">
        <v>218</v>
      </c>
      <c r="B219" s="8" t="n">
        <v>242</v>
      </c>
      <c r="C219" s="9" t="s">
        <v>178</v>
      </c>
      <c r="D219" s="8"/>
      <c r="E219" s="9" t="s">
        <v>617</v>
      </c>
      <c r="F219" s="8" t="s">
        <v>142</v>
      </c>
      <c r="G219" s="8"/>
      <c r="H219" s="10"/>
      <c r="I219" s="10"/>
      <c r="J219" s="11"/>
    </row>
    <row r="220" customFormat="false" ht="24.75" hidden="false" customHeight="true" outlineLevel="0" collapsed="false">
      <c r="A220" s="8" t="n">
        <v>219</v>
      </c>
      <c r="B220" s="8" t="n">
        <v>243</v>
      </c>
      <c r="C220" s="9" t="s">
        <v>618</v>
      </c>
      <c r="D220" s="8"/>
      <c r="E220" s="9" t="s">
        <v>619</v>
      </c>
      <c r="F220" s="8" t="s">
        <v>132</v>
      </c>
      <c r="G220" s="8"/>
      <c r="H220" s="10"/>
      <c r="I220" s="10"/>
      <c r="J220" s="11"/>
    </row>
    <row r="221" customFormat="false" ht="75" hidden="false" customHeight="true" outlineLevel="0" collapsed="false">
      <c r="A221" s="8" t="n">
        <v>220</v>
      </c>
      <c r="B221" s="8" t="n">
        <v>244</v>
      </c>
      <c r="C221" s="9" t="s">
        <v>620</v>
      </c>
      <c r="D221" s="8"/>
      <c r="E221" s="9" t="s">
        <v>621</v>
      </c>
      <c r="F221" s="8" t="s">
        <v>128</v>
      </c>
      <c r="G221" s="8"/>
      <c r="H221" s="10"/>
      <c r="I221" s="10"/>
      <c r="J221" s="11"/>
    </row>
    <row r="222" customFormat="false" ht="24.75" hidden="false" customHeight="true" outlineLevel="0" collapsed="false">
      <c r="A222" s="8" t="n">
        <v>221</v>
      </c>
      <c r="B222" s="8" t="n">
        <v>245</v>
      </c>
      <c r="C222" s="9" t="s">
        <v>622</v>
      </c>
      <c r="D222" s="8"/>
      <c r="E222" s="9" t="s">
        <v>623</v>
      </c>
      <c r="F222" s="8" t="s">
        <v>142</v>
      </c>
      <c r="G222" s="8"/>
      <c r="H222" s="10"/>
      <c r="I222" s="10"/>
      <c r="J222" s="11"/>
    </row>
    <row r="223" customFormat="false" ht="24.75" hidden="false" customHeight="true" outlineLevel="0" collapsed="false">
      <c r="A223" s="8" t="n">
        <v>222</v>
      </c>
      <c r="B223" s="8" t="n">
        <v>246</v>
      </c>
      <c r="C223" s="9" t="s">
        <v>624</v>
      </c>
      <c r="D223" s="8"/>
      <c r="E223" s="9" t="s">
        <v>625</v>
      </c>
      <c r="F223" s="8" t="s">
        <v>132</v>
      </c>
      <c r="G223" s="8"/>
      <c r="H223" s="10"/>
      <c r="I223" s="10"/>
      <c r="J223" s="11"/>
    </row>
    <row r="224" customFormat="false" ht="37.5" hidden="false" customHeight="true" outlineLevel="0" collapsed="false">
      <c r="A224" s="8" t="n">
        <v>223</v>
      </c>
      <c r="B224" s="8" t="n">
        <v>247</v>
      </c>
      <c r="C224" s="9" t="s">
        <v>626</v>
      </c>
      <c r="D224" s="8"/>
      <c r="E224" s="9" t="s">
        <v>627</v>
      </c>
      <c r="F224" s="8" t="s">
        <v>128</v>
      </c>
      <c r="G224" s="8"/>
      <c r="H224" s="10"/>
      <c r="I224" s="10"/>
      <c r="J224" s="11"/>
    </row>
    <row r="225" customFormat="false" ht="62.25" hidden="false" customHeight="true" outlineLevel="0" collapsed="false">
      <c r="A225" s="8" t="n">
        <v>224</v>
      </c>
      <c r="B225" s="8" t="n">
        <v>248</v>
      </c>
      <c r="C225" s="9" t="s">
        <v>628</v>
      </c>
      <c r="D225" s="8"/>
      <c r="E225" s="9" t="s">
        <v>629</v>
      </c>
      <c r="F225" s="8" t="s">
        <v>132</v>
      </c>
      <c r="G225" s="8"/>
      <c r="H225" s="10"/>
      <c r="I225" s="10"/>
      <c r="J225" s="11"/>
    </row>
    <row r="226" customFormat="false" ht="24.75" hidden="false" customHeight="true" outlineLevel="0" collapsed="false">
      <c r="A226" s="8" t="n">
        <v>225</v>
      </c>
      <c r="B226" s="8" t="n">
        <v>249</v>
      </c>
      <c r="C226" s="9" t="s">
        <v>630</v>
      </c>
      <c r="D226" s="8"/>
      <c r="E226" s="9" t="s">
        <v>631</v>
      </c>
      <c r="F226" s="8" t="s">
        <v>142</v>
      </c>
      <c r="G226" s="8"/>
      <c r="H226" s="10"/>
      <c r="I226" s="10"/>
      <c r="J226" s="11"/>
    </row>
    <row r="227" customFormat="false" ht="24.75" hidden="false" customHeight="true" outlineLevel="0" collapsed="false">
      <c r="A227" s="8" t="n">
        <v>226</v>
      </c>
      <c r="B227" s="8" t="n">
        <v>250</v>
      </c>
      <c r="C227" s="9" t="s">
        <v>632</v>
      </c>
      <c r="D227" s="8"/>
      <c r="E227" s="9" t="s">
        <v>633</v>
      </c>
      <c r="F227" s="8" t="s">
        <v>142</v>
      </c>
      <c r="G227" s="8"/>
      <c r="H227" s="10"/>
      <c r="I227" s="10"/>
      <c r="J227" s="11"/>
    </row>
    <row r="228" customFormat="false" ht="75" hidden="false" customHeight="true" outlineLevel="0" collapsed="false">
      <c r="A228" s="8" t="n">
        <v>227</v>
      </c>
      <c r="B228" s="8" t="n">
        <v>251</v>
      </c>
      <c r="C228" s="9" t="s">
        <v>634</v>
      </c>
      <c r="D228" s="8"/>
      <c r="E228" s="9" t="s">
        <v>635</v>
      </c>
      <c r="F228" s="8" t="s">
        <v>128</v>
      </c>
      <c r="G228" s="8"/>
      <c r="H228" s="10"/>
      <c r="I228" s="10"/>
      <c r="J228" s="11"/>
    </row>
    <row r="229" customFormat="false" ht="15" hidden="false" customHeight="true" outlineLevel="0" collapsed="false">
      <c r="A229" s="8" t="n">
        <v>228</v>
      </c>
      <c r="B229" s="8" t="n">
        <v>252</v>
      </c>
      <c r="C229" s="9" t="s">
        <v>636</v>
      </c>
      <c r="D229" s="8"/>
      <c r="E229" s="9" t="s">
        <v>637</v>
      </c>
      <c r="F229" s="8" t="s">
        <v>128</v>
      </c>
      <c r="G229" s="8"/>
      <c r="H229" s="10"/>
      <c r="I229" s="10"/>
      <c r="J229" s="11"/>
    </row>
    <row r="230" customFormat="false" ht="112.5" hidden="false" customHeight="true" outlineLevel="0" collapsed="false">
      <c r="A230" s="8" t="n">
        <v>229</v>
      </c>
      <c r="B230" s="8" t="n">
        <v>253</v>
      </c>
      <c r="C230" s="9" t="s">
        <v>638</v>
      </c>
      <c r="D230" s="8"/>
      <c r="E230" s="9" t="s">
        <v>639</v>
      </c>
      <c r="F230" s="8" t="s">
        <v>128</v>
      </c>
      <c r="G230" s="8"/>
      <c r="H230" s="10"/>
      <c r="I230" s="10"/>
      <c r="J230" s="11"/>
    </row>
    <row r="231" customFormat="false" ht="75" hidden="false" customHeight="true" outlineLevel="0" collapsed="false">
      <c r="A231" s="8" t="n">
        <v>230</v>
      </c>
      <c r="B231" s="8" t="n">
        <v>254</v>
      </c>
      <c r="C231" s="9" t="s">
        <v>640</v>
      </c>
      <c r="D231" s="8"/>
      <c r="E231" s="9" t="s">
        <v>641</v>
      </c>
      <c r="F231" s="8" t="s">
        <v>128</v>
      </c>
      <c r="G231" s="8"/>
      <c r="H231" s="10"/>
      <c r="I231" s="10"/>
      <c r="J231" s="11"/>
    </row>
    <row r="232" customFormat="false" ht="24.75" hidden="false" customHeight="true" outlineLevel="0" collapsed="false">
      <c r="A232" s="8" t="n">
        <v>231</v>
      </c>
      <c r="B232" s="8" t="n">
        <v>255</v>
      </c>
      <c r="C232" s="9" t="s">
        <v>642</v>
      </c>
      <c r="D232" s="8"/>
      <c r="E232" s="9" t="s">
        <v>643</v>
      </c>
      <c r="F232" s="8" t="s">
        <v>128</v>
      </c>
      <c r="G232" s="8"/>
      <c r="H232" s="10"/>
      <c r="I232" s="10"/>
      <c r="J232" s="11"/>
    </row>
    <row r="233" customFormat="false" ht="15" hidden="false" customHeight="true" outlineLevel="0" collapsed="false">
      <c r="A233" s="8" t="n">
        <v>232</v>
      </c>
      <c r="B233" s="8" t="n">
        <v>256</v>
      </c>
      <c r="C233" s="9" t="s">
        <v>644</v>
      </c>
      <c r="D233" s="8"/>
      <c r="E233" s="9" t="s">
        <v>645</v>
      </c>
      <c r="F233" s="8" t="s">
        <v>128</v>
      </c>
      <c r="G233" s="8"/>
      <c r="H233" s="10"/>
      <c r="I233" s="10"/>
      <c r="J233" s="11"/>
    </row>
    <row r="234" customFormat="false" ht="24.75" hidden="false" customHeight="true" outlineLevel="0" collapsed="false">
      <c r="A234" s="8" t="n">
        <v>233</v>
      </c>
      <c r="B234" s="8" t="n">
        <v>257</v>
      </c>
      <c r="C234" s="9" t="s">
        <v>646</v>
      </c>
      <c r="D234" s="8"/>
      <c r="E234" s="9" t="s">
        <v>647</v>
      </c>
      <c r="F234" s="8" t="s">
        <v>128</v>
      </c>
      <c r="G234" s="8"/>
      <c r="H234" s="10"/>
      <c r="I234" s="10"/>
      <c r="J234" s="11"/>
    </row>
    <row r="235" customFormat="false" ht="49.5" hidden="false" customHeight="true" outlineLevel="0" collapsed="false">
      <c r="A235" s="8" t="n">
        <v>234</v>
      </c>
      <c r="B235" s="8" t="n">
        <v>258</v>
      </c>
      <c r="C235" s="9" t="s">
        <v>648</v>
      </c>
      <c r="D235" s="8"/>
      <c r="E235" s="9" t="s">
        <v>649</v>
      </c>
      <c r="F235" s="8" t="s">
        <v>132</v>
      </c>
      <c r="G235" s="8"/>
      <c r="H235" s="10"/>
      <c r="I235" s="10"/>
      <c r="J235" s="11"/>
    </row>
    <row r="236" customFormat="false" ht="24.75" hidden="false" customHeight="true" outlineLevel="0" collapsed="false">
      <c r="A236" s="8" t="n">
        <v>235</v>
      </c>
      <c r="B236" s="8" t="n">
        <v>259</v>
      </c>
      <c r="C236" s="9" t="s">
        <v>650</v>
      </c>
      <c r="D236" s="8"/>
      <c r="E236" s="9" t="s">
        <v>651</v>
      </c>
      <c r="F236" s="8" t="s">
        <v>142</v>
      </c>
      <c r="G236" s="8"/>
      <c r="H236" s="10"/>
      <c r="I236" s="10"/>
      <c r="J236" s="11"/>
    </row>
    <row r="237" customFormat="false" ht="15" hidden="false" customHeight="true" outlineLevel="0" collapsed="false">
      <c r="A237" s="8" t="n">
        <v>236</v>
      </c>
      <c r="B237" s="8" t="n">
        <v>260</v>
      </c>
      <c r="C237" s="9" t="s">
        <v>652</v>
      </c>
      <c r="D237" s="8"/>
      <c r="E237" s="9" t="s">
        <v>653</v>
      </c>
      <c r="F237" s="8" t="s">
        <v>132</v>
      </c>
      <c r="G237" s="8"/>
      <c r="H237" s="10"/>
      <c r="I237" s="10"/>
      <c r="J237" s="11"/>
    </row>
    <row r="238" customFormat="false" ht="15" hidden="false" customHeight="true" outlineLevel="0" collapsed="false">
      <c r="A238" s="8" t="n">
        <v>237</v>
      </c>
      <c r="B238" s="8" t="n">
        <v>261</v>
      </c>
      <c r="C238" s="9" t="s">
        <v>654</v>
      </c>
      <c r="D238" s="8"/>
      <c r="E238" s="9" t="s">
        <v>655</v>
      </c>
      <c r="F238" s="8" t="s">
        <v>132</v>
      </c>
      <c r="G238" s="8"/>
      <c r="H238" s="10"/>
      <c r="I238" s="10"/>
      <c r="J238" s="11"/>
    </row>
    <row r="239" customFormat="false" ht="49.5" hidden="false" customHeight="true" outlineLevel="0" collapsed="false">
      <c r="A239" s="8" t="n">
        <v>238</v>
      </c>
      <c r="B239" s="8" t="n">
        <v>262</v>
      </c>
      <c r="C239" s="9" t="s">
        <v>656</v>
      </c>
      <c r="D239" s="8"/>
      <c r="E239" s="9" t="s">
        <v>657</v>
      </c>
      <c r="F239" s="8" t="s">
        <v>128</v>
      </c>
      <c r="G239" s="8"/>
      <c r="H239" s="10"/>
      <c r="I239" s="10"/>
      <c r="J239" s="11"/>
    </row>
    <row r="240" customFormat="false" ht="37.5" hidden="false" customHeight="true" outlineLevel="0" collapsed="false">
      <c r="A240" s="8" t="n">
        <v>239</v>
      </c>
      <c r="B240" s="8" t="n">
        <v>263</v>
      </c>
      <c r="C240" s="9" t="s">
        <v>658</v>
      </c>
      <c r="D240" s="8"/>
      <c r="E240" s="9" t="s">
        <v>659</v>
      </c>
      <c r="F240" s="8" t="s">
        <v>142</v>
      </c>
      <c r="G240" s="8"/>
      <c r="H240" s="10"/>
      <c r="I240" s="10"/>
      <c r="J240" s="11"/>
    </row>
    <row r="241" customFormat="false" ht="87" hidden="false" customHeight="true" outlineLevel="0" collapsed="false">
      <c r="A241" s="8" t="n">
        <v>240</v>
      </c>
      <c r="B241" s="8" t="n">
        <v>264</v>
      </c>
      <c r="C241" s="9" t="s">
        <v>660</v>
      </c>
      <c r="D241" s="8"/>
      <c r="E241" s="9" t="s">
        <v>661</v>
      </c>
      <c r="F241" s="8" t="s">
        <v>142</v>
      </c>
      <c r="G241" s="8"/>
      <c r="H241" s="10"/>
      <c r="I241" s="10"/>
      <c r="J241" s="11"/>
    </row>
    <row r="242" customFormat="false" ht="15" hidden="false" customHeight="true" outlineLevel="0" collapsed="false">
      <c r="A242" s="8" t="n">
        <v>241</v>
      </c>
      <c r="B242" s="8" t="n">
        <v>265</v>
      </c>
      <c r="C242" s="9" t="s">
        <v>662</v>
      </c>
      <c r="D242" s="8"/>
      <c r="E242" s="9" t="s">
        <v>663</v>
      </c>
      <c r="F242" s="8" t="s">
        <v>142</v>
      </c>
      <c r="G242" s="8"/>
      <c r="H242" s="10"/>
      <c r="I242" s="10"/>
      <c r="J242" s="11"/>
    </row>
    <row r="243" customFormat="false" ht="24.75" hidden="false" customHeight="true" outlineLevel="0" collapsed="false">
      <c r="A243" s="8" t="n">
        <v>242</v>
      </c>
      <c r="B243" s="8" t="n">
        <v>266</v>
      </c>
      <c r="C243" s="9" t="s">
        <v>664</v>
      </c>
      <c r="D243" s="8"/>
      <c r="E243" s="9" t="s">
        <v>665</v>
      </c>
      <c r="F243" s="8" t="s">
        <v>132</v>
      </c>
      <c r="G243" s="8"/>
      <c r="H243" s="10"/>
      <c r="I243" s="10"/>
      <c r="J243" s="11"/>
    </row>
    <row r="244" customFormat="false" ht="62.25" hidden="false" customHeight="true" outlineLevel="0" collapsed="false">
      <c r="A244" s="8" t="n">
        <v>243</v>
      </c>
      <c r="B244" s="8" t="n">
        <v>267</v>
      </c>
      <c r="C244" s="9" t="s">
        <v>666</v>
      </c>
      <c r="D244" s="8"/>
      <c r="E244" s="9" t="s">
        <v>667</v>
      </c>
      <c r="F244" s="8" t="s">
        <v>142</v>
      </c>
      <c r="G244" s="8"/>
      <c r="H244" s="10"/>
      <c r="I244" s="10"/>
      <c r="J244" s="11"/>
    </row>
    <row r="245" customFormat="false" ht="37.5" hidden="false" customHeight="true" outlineLevel="0" collapsed="false">
      <c r="A245" s="8" t="n">
        <v>244</v>
      </c>
      <c r="B245" s="8" t="n">
        <v>268</v>
      </c>
      <c r="C245" s="9" t="s">
        <v>668</v>
      </c>
      <c r="D245" s="8"/>
      <c r="E245" s="9" t="s">
        <v>669</v>
      </c>
      <c r="F245" s="8" t="s">
        <v>128</v>
      </c>
      <c r="G245" s="8"/>
      <c r="H245" s="10"/>
      <c r="I245" s="10"/>
      <c r="J245" s="11"/>
    </row>
    <row r="246" customFormat="false" ht="24.75" hidden="false" customHeight="true" outlineLevel="0" collapsed="false">
      <c r="A246" s="8" t="n">
        <v>245</v>
      </c>
      <c r="B246" s="8" t="n">
        <v>270</v>
      </c>
      <c r="C246" s="9" t="s">
        <v>670</v>
      </c>
      <c r="D246" s="8"/>
      <c r="E246" s="9" t="s">
        <v>671</v>
      </c>
      <c r="F246" s="8" t="s">
        <v>132</v>
      </c>
      <c r="G246" s="8"/>
      <c r="H246" s="10"/>
      <c r="I246" s="10"/>
      <c r="J246" s="11"/>
    </row>
    <row r="247" customFormat="false" ht="15" hidden="false" customHeight="true" outlineLevel="0" collapsed="false">
      <c r="A247" s="8" t="n">
        <v>246</v>
      </c>
      <c r="B247" s="8" t="n">
        <v>271</v>
      </c>
      <c r="C247" s="9" t="s">
        <v>672</v>
      </c>
      <c r="D247" s="8"/>
      <c r="E247" s="9" t="s">
        <v>673</v>
      </c>
      <c r="F247" s="8" t="s">
        <v>132</v>
      </c>
      <c r="G247" s="8"/>
      <c r="H247" s="10"/>
      <c r="I247" s="10"/>
      <c r="J247" s="11"/>
    </row>
    <row r="248" customFormat="false" ht="49.5" hidden="false" customHeight="true" outlineLevel="0" collapsed="false">
      <c r="A248" s="8" t="n">
        <v>247</v>
      </c>
      <c r="B248" s="8" t="n">
        <v>272</v>
      </c>
      <c r="C248" s="9" t="s">
        <v>483</v>
      </c>
      <c r="D248" s="8"/>
      <c r="E248" s="9" t="s">
        <v>674</v>
      </c>
      <c r="F248" s="8" t="s">
        <v>128</v>
      </c>
      <c r="G248" s="8"/>
      <c r="H248" s="10"/>
      <c r="I248" s="10"/>
      <c r="J248" s="11"/>
    </row>
    <row r="249" customFormat="false" ht="87" hidden="false" customHeight="true" outlineLevel="0" collapsed="false">
      <c r="A249" s="8" t="n">
        <v>248</v>
      </c>
      <c r="B249" s="8" t="n">
        <v>273</v>
      </c>
      <c r="C249" s="9" t="s">
        <v>675</v>
      </c>
      <c r="D249" s="8"/>
      <c r="E249" s="9" t="s">
        <v>676</v>
      </c>
      <c r="F249" s="8" t="s">
        <v>142</v>
      </c>
      <c r="G249" s="8"/>
      <c r="H249" s="10"/>
      <c r="I249" s="10"/>
      <c r="J249" s="11"/>
    </row>
    <row r="250" customFormat="false" ht="49.5" hidden="false" customHeight="true" outlineLevel="0" collapsed="false">
      <c r="A250" s="8" t="n">
        <v>249</v>
      </c>
      <c r="B250" s="8" t="n">
        <v>274</v>
      </c>
      <c r="C250" s="9" t="s">
        <v>677</v>
      </c>
      <c r="D250" s="8"/>
      <c r="E250" s="9" t="s">
        <v>678</v>
      </c>
      <c r="F250" s="8" t="s">
        <v>128</v>
      </c>
      <c r="G250" s="8"/>
      <c r="H250" s="10"/>
      <c r="I250" s="10"/>
      <c r="J250" s="11"/>
    </row>
    <row r="251" customFormat="false" ht="49.5" hidden="false" customHeight="true" outlineLevel="0" collapsed="false">
      <c r="A251" s="8" t="n">
        <v>250</v>
      </c>
      <c r="B251" s="8" t="n">
        <v>275</v>
      </c>
      <c r="C251" s="9" t="s">
        <v>679</v>
      </c>
      <c r="D251" s="8"/>
      <c r="E251" s="9" t="s">
        <v>680</v>
      </c>
      <c r="F251" s="8" t="s">
        <v>142</v>
      </c>
      <c r="G251" s="8"/>
      <c r="H251" s="10"/>
      <c r="I251" s="10"/>
      <c r="J251" s="11"/>
    </row>
    <row r="252" customFormat="false" ht="87" hidden="false" customHeight="true" outlineLevel="0" collapsed="false">
      <c r="A252" s="8" t="n">
        <v>251</v>
      </c>
      <c r="B252" s="8" t="n">
        <v>276</v>
      </c>
      <c r="C252" s="9" t="s">
        <v>681</v>
      </c>
      <c r="D252" s="8"/>
      <c r="E252" s="9" t="s">
        <v>682</v>
      </c>
      <c r="F252" s="8" t="s">
        <v>142</v>
      </c>
      <c r="G252" s="8"/>
      <c r="H252" s="10"/>
      <c r="I252" s="10"/>
      <c r="J252" s="11"/>
    </row>
    <row r="253" customFormat="false" ht="24.75" hidden="false" customHeight="true" outlineLevel="0" collapsed="false">
      <c r="A253" s="8" t="n">
        <v>252</v>
      </c>
      <c r="B253" s="8" t="n">
        <v>277</v>
      </c>
      <c r="C253" s="9" t="s">
        <v>683</v>
      </c>
      <c r="D253" s="8"/>
      <c r="E253" s="9" t="s">
        <v>684</v>
      </c>
      <c r="F253" s="8" t="s">
        <v>128</v>
      </c>
      <c r="G253" s="8"/>
      <c r="H253" s="10"/>
      <c r="I253" s="10"/>
      <c r="J253" s="11"/>
    </row>
    <row r="254" customFormat="false" ht="49.5" hidden="false" customHeight="true" outlineLevel="0" collapsed="false">
      <c r="A254" s="8" t="n">
        <v>253</v>
      </c>
      <c r="B254" s="8" t="n">
        <v>278</v>
      </c>
      <c r="C254" s="9" t="s">
        <v>685</v>
      </c>
      <c r="D254" s="8"/>
      <c r="E254" s="9" t="s">
        <v>686</v>
      </c>
      <c r="F254" s="8" t="s">
        <v>128</v>
      </c>
      <c r="G254" s="8"/>
      <c r="H254" s="10"/>
      <c r="I254" s="10"/>
      <c r="J254" s="11"/>
    </row>
    <row r="255" customFormat="false" ht="62.25" hidden="false" customHeight="true" outlineLevel="0" collapsed="false">
      <c r="A255" s="8" t="n">
        <v>254</v>
      </c>
      <c r="B255" s="8" t="n">
        <v>279</v>
      </c>
      <c r="C255" s="9" t="s">
        <v>687</v>
      </c>
      <c r="D255" s="8"/>
      <c r="E255" s="9" t="s">
        <v>688</v>
      </c>
      <c r="F255" s="8" t="s">
        <v>128</v>
      </c>
      <c r="G255" s="8"/>
      <c r="H255" s="10"/>
      <c r="I255" s="10"/>
      <c r="J255" s="11"/>
    </row>
    <row r="256" customFormat="false" ht="49.5" hidden="false" customHeight="true" outlineLevel="0" collapsed="false">
      <c r="A256" s="8" t="n">
        <v>255</v>
      </c>
      <c r="B256" s="8" t="n">
        <v>280</v>
      </c>
      <c r="C256" s="9" t="s">
        <v>689</v>
      </c>
      <c r="D256" s="8"/>
      <c r="E256" s="9" t="s">
        <v>690</v>
      </c>
      <c r="F256" s="8" t="s">
        <v>128</v>
      </c>
      <c r="G256" s="8"/>
      <c r="H256" s="10"/>
      <c r="I256" s="10"/>
      <c r="J256" s="11"/>
    </row>
    <row r="257" customFormat="false" ht="75" hidden="false" customHeight="true" outlineLevel="0" collapsed="false">
      <c r="A257" s="8" t="n">
        <v>256</v>
      </c>
      <c r="B257" s="8" t="n">
        <v>281</v>
      </c>
      <c r="C257" s="9" t="s">
        <v>691</v>
      </c>
      <c r="D257" s="8"/>
      <c r="E257" s="9" t="s">
        <v>692</v>
      </c>
      <c r="F257" s="8" t="s">
        <v>132</v>
      </c>
      <c r="G257" s="8"/>
      <c r="H257" s="10"/>
      <c r="I257" s="10"/>
      <c r="J257" s="11"/>
    </row>
    <row r="258" customFormat="false" ht="62.25" hidden="false" customHeight="true" outlineLevel="0" collapsed="false">
      <c r="A258" s="8" t="n">
        <v>257</v>
      </c>
      <c r="B258" s="8" t="n">
        <v>282</v>
      </c>
      <c r="C258" s="9" t="s">
        <v>693</v>
      </c>
      <c r="D258" s="8"/>
      <c r="E258" s="9" t="s">
        <v>694</v>
      </c>
      <c r="F258" s="8" t="s">
        <v>132</v>
      </c>
      <c r="G258" s="8"/>
      <c r="H258" s="10"/>
      <c r="I258" s="10"/>
      <c r="J258" s="11"/>
    </row>
    <row r="259" customFormat="false" ht="62.25" hidden="false" customHeight="true" outlineLevel="0" collapsed="false">
      <c r="A259" s="8" t="n">
        <v>258</v>
      </c>
      <c r="B259" s="8" t="n">
        <v>283</v>
      </c>
      <c r="C259" s="9" t="s">
        <v>695</v>
      </c>
      <c r="D259" s="8"/>
      <c r="E259" s="9" t="s">
        <v>696</v>
      </c>
      <c r="F259" s="8" t="s">
        <v>142</v>
      </c>
      <c r="G259" s="8"/>
      <c r="H259" s="10"/>
      <c r="I259" s="10"/>
      <c r="J259" s="11"/>
    </row>
    <row r="260" customFormat="false" ht="24.75" hidden="false" customHeight="true" outlineLevel="0" collapsed="false">
      <c r="A260" s="8" t="n">
        <v>259</v>
      </c>
      <c r="B260" s="8" t="n">
        <v>284</v>
      </c>
      <c r="C260" s="9" t="s">
        <v>697</v>
      </c>
      <c r="D260" s="8"/>
      <c r="E260" s="9" t="s">
        <v>698</v>
      </c>
      <c r="F260" s="8" t="s">
        <v>132</v>
      </c>
      <c r="G260" s="8"/>
      <c r="H260" s="10"/>
      <c r="I260" s="10"/>
      <c r="J260" s="11"/>
    </row>
    <row r="261" customFormat="false" ht="49.5" hidden="false" customHeight="true" outlineLevel="0" collapsed="false">
      <c r="A261" s="8" t="n">
        <v>260</v>
      </c>
      <c r="B261" s="8" t="n">
        <v>285</v>
      </c>
      <c r="C261" s="9" t="s">
        <v>699</v>
      </c>
      <c r="D261" s="8"/>
      <c r="E261" s="9" t="s">
        <v>700</v>
      </c>
      <c r="F261" s="8" t="s">
        <v>132</v>
      </c>
      <c r="G261" s="8"/>
      <c r="H261" s="10"/>
      <c r="I261" s="10"/>
      <c r="J261" s="11"/>
    </row>
    <row r="262" customFormat="false" ht="49.5" hidden="false" customHeight="true" outlineLevel="0" collapsed="false">
      <c r="A262" s="8" t="n">
        <v>261</v>
      </c>
      <c r="B262" s="8" t="n">
        <v>286</v>
      </c>
      <c r="C262" s="9" t="s">
        <v>701</v>
      </c>
      <c r="D262" s="8"/>
      <c r="E262" s="9" t="s">
        <v>702</v>
      </c>
      <c r="F262" s="8" t="s">
        <v>132</v>
      </c>
      <c r="G262" s="8"/>
      <c r="H262" s="10"/>
      <c r="I262" s="10"/>
      <c r="J262" s="11"/>
    </row>
    <row r="263" customFormat="false" ht="62.25" hidden="false" customHeight="true" outlineLevel="0" collapsed="false">
      <c r="A263" s="8" t="n">
        <v>262</v>
      </c>
      <c r="B263" s="8" t="n">
        <v>287</v>
      </c>
      <c r="C263" s="9" t="s">
        <v>703</v>
      </c>
      <c r="D263" s="8"/>
      <c r="E263" s="9" t="s">
        <v>704</v>
      </c>
      <c r="F263" s="8" t="s">
        <v>132</v>
      </c>
      <c r="G263" s="8"/>
      <c r="H263" s="10"/>
      <c r="I263" s="10"/>
      <c r="J263" s="11"/>
    </row>
    <row r="264" customFormat="false" ht="75" hidden="false" customHeight="true" outlineLevel="0" collapsed="false">
      <c r="A264" s="8" t="n">
        <v>263</v>
      </c>
      <c r="B264" s="8" t="n">
        <v>288</v>
      </c>
      <c r="C264" s="9" t="s">
        <v>705</v>
      </c>
      <c r="D264" s="8"/>
      <c r="E264" s="9" t="s">
        <v>706</v>
      </c>
      <c r="F264" s="8" t="s">
        <v>132</v>
      </c>
      <c r="G264" s="8"/>
      <c r="H264" s="10"/>
      <c r="I264" s="10"/>
      <c r="J264" s="11"/>
    </row>
    <row r="265" customFormat="false" ht="87" hidden="false" customHeight="true" outlineLevel="0" collapsed="false">
      <c r="A265" s="8" t="n">
        <v>264</v>
      </c>
      <c r="B265" s="8" t="n">
        <v>289</v>
      </c>
      <c r="C265" s="9" t="s">
        <v>707</v>
      </c>
      <c r="D265" s="8"/>
      <c r="E265" s="9" t="s">
        <v>708</v>
      </c>
      <c r="F265" s="8" t="s">
        <v>128</v>
      </c>
      <c r="G265" s="8"/>
      <c r="H265" s="10"/>
      <c r="I265" s="10"/>
      <c r="J265" s="11"/>
    </row>
  </sheetData>
  <autoFilter ref="A1:J265"/>
  <dataValidations count="2">
    <dataValidation allowBlank="true" error="Pilih salah satu: Positif, Negatif, Netral, Tidak Relevan" errorStyle="stop" errorTitle="Nilai tidak valid" operator="between" showDropDown="false" showErrorMessage="false" showInputMessage="false" sqref="H2:H265" type="list">
      <formula1>"Positif,Negatif,Netral,Tidak Relevan"</formula1>
      <formula2>0</formula2>
    </dataValidation>
    <dataValidation allowBlank="true" errorStyle="stop" operator="between" showDropDown="false" showErrorMessage="false" showInputMessage="false" sqref="I2:I265" type="list">
      <formula1>"Kebijakan,Layanan/Proses,Pegawai,Umum"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8"/>
    <col collapsed="false" customWidth="true" hidden="false" outlineLevel="0" max="4" min="4" style="0" width="86"/>
    <col collapsed="false" customWidth="true" hidden="false" outlineLevel="0" max="6" min="5" style="0" width="16"/>
  </cols>
  <sheetData>
    <row r="1" customFormat="false" ht="17.35" hidden="false" customHeight="false" outlineLevel="0" collapsed="false">
      <c r="B1" s="1" t="s">
        <v>709</v>
      </c>
      <c r="C1" s="1"/>
      <c r="D1" s="1"/>
      <c r="E1" s="1"/>
      <c r="F1" s="1"/>
    </row>
    <row r="2" customFormat="false" ht="42" hidden="false" customHeight="true" outlineLevel="0" collapsed="false">
      <c r="B2" s="13" t="s">
        <v>710</v>
      </c>
      <c r="C2" s="13"/>
      <c r="D2" s="13"/>
      <c r="E2" s="13"/>
      <c r="F2" s="13"/>
    </row>
    <row r="4" customFormat="false" ht="25.5" hidden="false" customHeight="true" outlineLevel="0" collapsed="false">
      <c r="B4" s="7" t="s">
        <v>115</v>
      </c>
      <c r="C4" s="7" t="s">
        <v>116</v>
      </c>
      <c r="D4" s="7" t="s">
        <v>119</v>
      </c>
      <c r="E4" s="7" t="s">
        <v>711</v>
      </c>
      <c r="F4" s="7" t="s">
        <v>712</v>
      </c>
    </row>
    <row r="5" customFormat="false" ht="137.25" hidden="false" customHeight="true" outlineLevel="0" collapsed="false">
      <c r="B5" s="8" t="n">
        <v>5</v>
      </c>
      <c r="C5" s="8" t="n">
        <v>5</v>
      </c>
      <c r="D5" s="9" t="s">
        <v>141</v>
      </c>
      <c r="E5" s="10"/>
      <c r="F5" s="10"/>
    </row>
    <row r="6" customFormat="false" ht="49.5" hidden="false" customHeight="true" outlineLevel="0" collapsed="false">
      <c r="B6" s="8" t="n">
        <v>6</v>
      </c>
      <c r="C6" s="8" t="n">
        <v>6</v>
      </c>
      <c r="D6" s="9" t="s">
        <v>145</v>
      </c>
      <c r="E6" s="10"/>
      <c r="F6" s="10"/>
    </row>
    <row r="7" customFormat="false" ht="37.5" hidden="false" customHeight="true" outlineLevel="0" collapsed="false">
      <c r="B7" s="8" t="n">
        <v>7</v>
      </c>
      <c r="C7" s="8" t="n">
        <v>7</v>
      </c>
      <c r="D7" s="9" t="s">
        <v>148</v>
      </c>
      <c r="E7" s="10"/>
      <c r="F7" s="10"/>
    </row>
    <row r="8" customFormat="false" ht="75" hidden="false" customHeight="true" outlineLevel="0" collapsed="false">
      <c r="B8" s="8" t="n">
        <v>25</v>
      </c>
      <c r="C8" s="8" t="n">
        <v>25</v>
      </c>
      <c r="D8" s="9" t="s">
        <v>201</v>
      </c>
      <c r="E8" s="10"/>
      <c r="F8" s="10"/>
    </row>
    <row r="9" customFormat="false" ht="75" hidden="false" customHeight="true" outlineLevel="0" collapsed="false">
      <c r="B9" s="8" t="n">
        <v>38</v>
      </c>
      <c r="C9" s="8" t="n">
        <v>38</v>
      </c>
      <c r="D9" s="9" t="s">
        <v>234</v>
      </c>
      <c r="E9" s="10"/>
      <c r="F9" s="10"/>
    </row>
    <row r="10" customFormat="false" ht="37.5" hidden="false" customHeight="true" outlineLevel="0" collapsed="false">
      <c r="B10" s="8" t="n">
        <v>43</v>
      </c>
      <c r="C10" s="8" t="n">
        <v>43</v>
      </c>
      <c r="D10" s="9" t="s">
        <v>244</v>
      </c>
      <c r="E10" s="10"/>
      <c r="F10" s="10"/>
    </row>
    <row r="11" customFormat="false" ht="24.75" hidden="false" customHeight="true" outlineLevel="0" collapsed="false">
      <c r="B11" s="8" t="n">
        <v>45</v>
      </c>
      <c r="C11" s="8" t="n">
        <v>45</v>
      </c>
      <c r="D11" s="9" t="s">
        <v>250</v>
      </c>
      <c r="E11" s="10"/>
      <c r="F11" s="10"/>
    </row>
    <row r="12" customFormat="false" ht="24.75" hidden="false" customHeight="true" outlineLevel="0" collapsed="false">
      <c r="B12" s="8" t="n">
        <v>51</v>
      </c>
      <c r="C12" s="8" t="n">
        <v>51</v>
      </c>
      <c r="D12" s="9" t="s">
        <v>264</v>
      </c>
      <c r="E12" s="10"/>
      <c r="F12" s="10"/>
    </row>
    <row r="13" customFormat="false" ht="37.5" hidden="false" customHeight="true" outlineLevel="0" collapsed="false">
      <c r="B13" s="8" t="n">
        <v>53</v>
      </c>
      <c r="C13" s="8" t="n">
        <v>53</v>
      </c>
      <c r="D13" s="9" t="s">
        <v>269</v>
      </c>
      <c r="E13" s="10"/>
      <c r="F13" s="10"/>
    </row>
    <row r="14" customFormat="false" ht="24.75" hidden="false" customHeight="true" outlineLevel="0" collapsed="false">
      <c r="B14" s="8" t="n">
        <v>63</v>
      </c>
      <c r="C14" s="8" t="n">
        <v>65</v>
      </c>
      <c r="D14" s="9" t="s">
        <v>291</v>
      </c>
      <c r="E14" s="10"/>
      <c r="F14" s="10"/>
    </row>
    <row r="15" customFormat="false" ht="15" hidden="false" customHeight="true" outlineLevel="0" collapsed="false">
      <c r="B15" s="8" t="n">
        <v>66</v>
      </c>
      <c r="C15" s="8" t="n">
        <v>68</v>
      </c>
      <c r="D15" s="9" t="s">
        <v>297</v>
      </c>
      <c r="E15" s="10"/>
      <c r="F15" s="10"/>
    </row>
    <row r="16" customFormat="false" ht="24.75" hidden="false" customHeight="true" outlineLevel="0" collapsed="false">
      <c r="B16" s="8" t="n">
        <v>81</v>
      </c>
      <c r="C16" s="8" t="n">
        <v>83</v>
      </c>
      <c r="D16" s="9" t="s">
        <v>324</v>
      </c>
      <c r="E16" s="10"/>
      <c r="F16" s="10"/>
    </row>
    <row r="17" customFormat="false" ht="37.5" hidden="false" customHeight="true" outlineLevel="0" collapsed="false">
      <c r="B17" s="8" t="n">
        <v>88</v>
      </c>
      <c r="C17" s="8" t="n">
        <v>90</v>
      </c>
      <c r="D17" s="9" t="s">
        <v>340</v>
      </c>
      <c r="E17" s="10"/>
      <c r="F17" s="10"/>
    </row>
    <row r="18" customFormat="false" ht="75" hidden="false" customHeight="true" outlineLevel="0" collapsed="false">
      <c r="B18" s="8" t="n">
        <v>91</v>
      </c>
      <c r="C18" s="8" t="n">
        <v>93</v>
      </c>
      <c r="D18" s="9" t="s">
        <v>348</v>
      </c>
      <c r="E18" s="10"/>
      <c r="F18" s="10"/>
    </row>
    <row r="19" customFormat="false" ht="24.75" hidden="false" customHeight="true" outlineLevel="0" collapsed="false">
      <c r="B19" s="8" t="n">
        <v>105</v>
      </c>
      <c r="C19" s="8" t="n">
        <v>107</v>
      </c>
      <c r="D19" s="9" t="s">
        <v>382</v>
      </c>
      <c r="E19" s="10"/>
      <c r="F19" s="10"/>
    </row>
    <row r="20" customFormat="false" ht="75" hidden="false" customHeight="true" outlineLevel="0" collapsed="false">
      <c r="B20" s="8" t="n">
        <v>111</v>
      </c>
      <c r="C20" s="8" t="n">
        <v>113</v>
      </c>
      <c r="D20" s="9" t="s">
        <v>396</v>
      </c>
      <c r="E20" s="10"/>
      <c r="F20" s="10"/>
    </row>
    <row r="21" customFormat="false" ht="75" hidden="false" customHeight="true" outlineLevel="0" collapsed="false">
      <c r="B21" s="8" t="n">
        <v>116</v>
      </c>
      <c r="C21" s="8" t="n">
        <v>118</v>
      </c>
      <c r="D21" s="9" t="s">
        <v>405</v>
      </c>
      <c r="E21" s="10"/>
      <c r="F21" s="10"/>
    </row>
    <row r="22" customFormat="false" ht="62.25" hidden="false" customHeight="true" outlineLevel="0" collapsed="false">
      <c r="B22" s="8" t="n">
        <v>119</v>
      </c>
      <c r="C22" s="8" t="n">
        <v>121</v>
      </c>
      <c r="D22" s="9" t="s">
        <v>411</v>
      </c>
      <c r="E22" s="10"/>
      <c r="F22" s="10"/>
    </row>
    <row r="23" customFormat="false" ht="37.5" hidden="false" customHeight="true" outlineLevel="0" collapsed="false">
      <c r="B23" s="8" t="n">
        <v>120</v>
      </c>
      <c r="C23" s="8" t="n">
        <v>122</v>
      </c>
      <c r="D23" s="9" t="s">
        <v>413</v>
      </c>
      <c r="E23" s="10"/>
      <c r="F23" s="10"/>
    </row>
    <row r="24" customFormat="false" ht="15" hidden="false" customHeight="true" outlineLevel="0" collapsed="false">
      <c r="B24" s="8" t="n">
        <v>132</v>
      </c>
      <c r="C24" s="8" t="n">
        <v>137</v>
      </c>
      <c r="D24" s="9" t="s">
        <v>442</v>
      </c>
      <c r="E24" s="10"/>
      <c r="F24" s="10"/>
    </row>
    <row r="25" customFormat="false" ht="49.5" hidden="false" customHeight="true" outlineLevel="0" collapsed="false">
      <c r="B25" s="8" t="n">
        <v>137</v>
      </c>
      <c r="C25" s="8" t="n">
        <v>143</v>
      </c>
      <c r="D25" s="9" t="s">
        <v>455</v>
      </c>
      <c r="E25" s="10"/>
      <c r="F25" s="10"/>
    </row>
    <row r="26" customFormat="false" ht="24.75" hidden="false" customHeight="true" outlineLevel="0" collapsed="false">
      <c r="B26" s="8" t="n">
        <v>147</v>
      </c>
      <c r="C26" s="8" t="n">
        <v>156</v>
      </c>
      <c r="D26" s="9" t="s">
        <v>474</v>
      </c>
      <c r="E26" s="10"/>
      <c r="F26" s="10"/>
    </row>
    <row r="27" customFormat="false" ht="37.5" hidden="false" customHeight="true" outlineLevel="0" collapsed="false">
      <c r="B27" s="8" t="n">
        <v>148</v>
      </c>
      <c r="C27" s="8" t="n">
        <v>157</v>
      </c>
      <c r="D27" s="9" t="s">
        <v>476</v>
      </c>
      <c r="E27" s="10"/>
      <c r="F27" s="10"/>
    </row>
    <row r="28" customFormat="false" ht="24.75" hidden="false" customHeight="true" outlineLevel="0" collapsed="false">
      <c r="B28" s="8" t="n">
        <v>152</v>
      </c>
      <c r="C28" s="8" t="n">
        <v>161</v>
      </c>
      <c r="D28" s="9" t="s">
        <v>484</v>
      </c>
      <c r="E28" s="10"/>
      <c r="F28" s="10"/>
    </row>
    <row r="29" customFormat="false" ht="24.75" hidden="false" customHeight="true" outlineLevel="0" collapsed="false">
      <c r="B29" s="8" t="n">
        <v>159</v>
      </c>
      <c r="C29" s="8" t="n">
        <v>170</v>
      </c>
      <c r="D29" s="9" t="s">
        <v>499</v>
      </c>
      <c r="E29" s="10"/>
      <c r="F29" s="10"/>
    </row>
    <row r="30" customFormat="false" ht="62.25" hidden="false" customHeight="true" outlineLevel="0" collapsed="false">
      <c r="B30" s="8" t="n">
        <v>167</v>
      </c>
      <c r="C30" s="8" t="n">
        <v>178</v>
      </c>
      <c r="D30" s="9" t="s">
        <v>517</v>
      </c>
      <c r="E30" s="10"/>
      <c r="F30" s="10"/>
    </row>
    <row r="31" customFormat="false" ht="75" hidden="false" customHeight="true" outlineLevel="0" collapsed="false">
      <c r="B31" s="8" t="n">
        <v>178</v>
      </c>
      <c r="C31" s="8" t="n">
        <v>191</v>
      </c>
      <c r="D31" s="9" t="s">
        <v>542</v>
      </c>
      <c r="E31" s="10"/>
      <c r="F31" s="10"/>
    </row>
    <row r="32" customFormat="false" ht="49.5" hidden="false" customHeight="true" outlineLevel="0" collapsed="false">
      <c r="B32" s="8" t="n">
        <v>181</v>
      </c>
      <c r="C32" s="8" t="n">
        <v>196</v>
      </c>
      <c r="D32" s="9" t="s">
        <v>547</v>
      </c>
      <c r="E32" s="10"/>
      <c r="F32" s="10"/>
    </row>
    <row r="33" customFormat="false" ht="37.5" hidden="false" customHeight="true" outlineLevel="0" collapsed="false">
      <c r="B33" s="8" t="n">
        <v>186</v>
      </c>
      <c r="C33" s="8" t="n">
        <v>201</v>
      </c>
      <c r="D33" s="9" t="s">
        <v>557</v>
      </c>
      <c r="E33" s="10"/>
      <c r="F33" s="10"/>
    </row>
    <row r="34" customFormat="false" ht="62.25" hidden="false" customHeight="true" outlineLevel="0" collapsed="false">
      <c r="B34" s="8" t="n">
        <v>189</v>
      </c>
      <c r="C34" s="8" t="n">
        <v>205</v>
      </c>
      <c r="D34" s="9" t="s">
        <v>562</v>
      </c>
      <c r="E34" s="10"/>
      <c r="F34" s="10"/>
    </row>
    <row r="35" customFormat="false" ht="49.5" hidden="false" customHeight="true" outlineLevel="0" collapsed="false">
      <c r="B35" s="8" t="n">
        <v>196</v>
      </c>
      <c r="C35" s="8" t="n">
        <v>216</v>
      </c>
      <c r="D35" s="9" t="s">
        <v>575</v>
      </c>
      <c r="E35" s="10"/>
      <c r="F35" s="10"/>
    </row>
    <row r="36" customFormat="false" ht="15" hidden="false" customHeight="true" outlineLevel="0" collapsed="false">
      <c r="B36" s="8" t="n">
        <v>207</v>
      </c>
      <c r="C36" s="8" t="n">
        <v>230</v>
      </c>
      <c r="D36" s="9" t="s">
        <v>596</v>
      </c>
      <c r="E36" s="10"/>
      <c r="F36" s="10"/>
    </row>
    <row r="37" customFormat="false" ht="24.75" hidden="false" customHeight="true" outlineLevel="0" collapsed="false">
      <c r="B37" s="8" t="n">
        <v>209</v>
      </c>
      <c r="C37" s="8" t="n">
        <v>232</v>
      </c>
      <c r="D37" s="9" t="s">
        <v>600</v>
      </c>
      <c r="E37" s="10"/>
      <c r="F37" s="10"/>
    </row>
    <row r="38" customFormat="false" ht="24.75" hidden="false" customHeight="true" outlineLevel="0" collapsed="false">
      <c r="B38" s="8" t="n">
        <v>214</v>
      </c>
      <c r="C38" s="8" t="n">
        <v>237</v>
      </c>
      <c r="D38" s="9" t="s">
        <v>610</v>
      </c>
      <c r="E38" s="10"/>
      <c r="F38" s="10"/>
    </row>
    <row r="39" customFormat="false" ht="49.5" hidden="false" customHeight="true" outlineLevel="0" collapsed="false">
      <c r="B39" s="8" t="n">
        <v>215</v>
      </c>
      <c r="C39" s="8" t="n">
        <v>238</v>
      </c>
      <c r="D39" s="9" t="s">
        <v>612</v>
      </c>
      <c r="E39" s="10"/>
      <c r="F39" s="10"/>
    </row>
    <row r="40" customFormat="false" ht="37.5" hidden="false" customHeight="true" outlineLevel="0" collapsed="false">
      <c r="B40" s="8" t="n">
        <v>218</v>
      </c>
      <c r="C40" s="8" t="n">
        <v>242</v>
      </c>
      <c r="D40" s="9" t="s">
        <v>617</v>
      </c>
      <c r="E40" s="10"/>
      <c r="F40" s="10"/>
    </row>
    <row r="41" customFormat="false" ht="24.75" hidden="false" customHeight="true" outlineLevel="0" collapsed="false">
      <c r="B41" s="8" t="n">
        <v>221</v>
      </c>
      <c r="C41" s="8" t="n">
        <v>245</v>
      </c>
      <c r="D41" s="9" t="s">
        <v>623</v>
      </c>
      <c r="E41" s="10"/>
      <c r="F41" s="10"/>
    </row>
    <row r="42" customFormat="false" ht="62.25" hidden="false" customHeight="true" outlineLevel="0" collapsed="false">
      <c r="B42" s="8" t="n">
        <v>254</v>
      </c>
      <c r="C42" s="8" t="n">
        <v>279</v>
      </c>
      <c r="D42" s="9" t="s">
        <v>688</v>
      </c>
      <c r="E42" s="10"/>
      <c r="F42" s="10"/>
    </row>
    <row r="43" customFormat="false" ht="24.75" hidden="false" customHeight="true" outlineLevel="0" collapsed="false">
      <c r="B43" s="8" t="n">
        <v>259</v>
      </c>
      <c r="C43" s="8" t="n">
        <v>284</v>
      </c>
      <c r="D43" s="9" t="s">
        <v>698</v>
      </c>
      <c r="E43" s="10"/>
      <c r="F43" s="10"/>
    </row>
    <row r="44" customFormat="false" ht="49.5" hidden="false" customHeight="true" outlineLevel="0" collapsed="false">
      <c r="B44" s="8" t="n">
        <v>260</v>
      </c>
      <c r="C44" s="8" t="n">
        <v>285</v>
      </c>
      <c r="D44" s="9" t="s">
        <v>700</v>
      </c>
      <c r="E44" s="10"/>
      <c r="F44" s="10"/>
    </row>
    <row r="46" customFormat="false" ht="15" hidden="false" customHeight="false" outlineLevel="0" collapsed="false">
      <c r="B46" s="14" t="s">
        <v>713</v>
      </c>
      <c r="D46" s="15" t="n">
        <f aca="false">COUNTA(E5:E44)</f>
        <v>0</v>
      </c>
    </row>
    <row r="47" customFormat="false" ht="15" hidden="false" customHeight="false" outlineLevel="0" collapsed="false">
      <c r="B47" s="14" t="s">
        <v>714</v>
      </c>
      <c r="D47" s="15" t="n">
        <f aca="false">COUNTA(F5:F44)</f>
        <v>0</v>
      </c>
    </row>
    <row r="48" customFormat="false" ht="15" hidden="false" customHeight="false" outlineLevel="0" collapsed="false">
      <c r="B48" s="14" t="s">
        <v>715</v>
      </c>
      <c r="D48" s="15" t="n">
        <f aca="false">SUMPRODUCT((E5:E44&lt;&gt;"")*(F5:F44&lt;&gt;"")*(E5:E44=F5:F44))</f>
        <v>0</v>
      </c>
    </row>
    <row r="49" customFormat="false" ht="15" hidden="false" customHeight="false" outlineLevel="0" collapsed="false">
      <c r="B49" s="14" t="s">
        <v>716</v>
      </c>
      <c r="D49" s="16" t="n">
        <f aca="false">IFERROR(D48/SUMPRODUCT((E5:E44&lt;&gt;"")*(F5:F44&lt;&gt;"")),0)</f>
        <v>0</v>
      </c>
    </row>
    <row r="51" customFormat="false" ht="30" hidden="false" customHeight="true" outlineLevel="0" collapsed="false">
      <c r="B51" s="13" t="s">
        <v>717</v>
      </c>
      <c r="C51" s="13"/>
      <c r="D51" s="13"/>
      <c r="E51" s="13"/>
      <c r="F51" s="13"/>
    </row>
  </sheetData>
  <mergeCells count="3">
    <mergeCell ref="B1:F1"/>
    <mergeCell ref="B2:F2"/>
    <mergeCell ref="B51:F51"/>
  </mergeCells>
  <dataValidations count="1">
    <dataValidation allowBlank="true" errorStyle="stop" operator="between" showDropDown="false" showErrorMessage="false" showInputMessage="false" sqref="E5:F44" type="list">
      <formula1>"Positif,Negatif,Netral,Tidak Relevan"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8"/>
    <col collapsed="false" customWidth="true" hidden="false" outlineLevel="0" max="4" min="4" style="0" width="86"/>
    <col collapsed="false" customWidth="true" hidden="false" outlineLevel="0" max="6" min="5" style="0" width="16"/>
  </cols>
  <sheetData>
    <row r="1" customFormat="false" ht="17.35" hidden="false" customHeight="false" outlineLevel="0" collapsed="false">
      <c r="B1" s="1" t="s">
        <v>718</v>
      </c>
      <c r="C1" s="1"/>
      <c r="D1" s="1"/>
      <c r="E1" s="1"/>
      <c r="F1" s="1"/>
    </row>
    <row r="2" customFormat="false" ht="42" hidden="false" customHeight="true" outlineLevel="0" collapsed="false">
      <c r="B2" s="13" t="s">
        <v>719</v>
      </c>
      <c r="C2" s="13"/>
      <c r="D2" s="13"/>
      <c r="E2" s="13"/>
      <c r="F2" s="13"/>
    </row>
    <row r="4" customFormat="false" ht="25.5" hidden="false" customHeight="true" outlineLevel="0" collapsed="false">
      <c r="B4" s="7" t="s">
        <v>115</v>
      </c>
      <c r="C4" s="7" t="s">
        <v>116</v>
      </c>
      <c r="D4" s="7" t="s">
        <v>119</v>
      </c>
      <c r="E4" s="7" t="s">
        <v>711</v>
      </c>
      <c r="F4" s="7" t="s">
        <v>712</v>
      </c>
    </row>
    <row r="5" customFormat="false" ht="75" hidden="false" customHeight="true" outlineLevel="0" collapsed="false">
      <c r="B5" s="8" t="n">
        <v>10</v>
      </c>
      <c r="C5" s="8" t="n">
        <v>10</v>
      </c>
      <c r="D5" s="9" t="s">
        <v>157</v>
      </c>
      <c r="E5" s="10"/>
      <c r="F5" s="10"/>
    </row>
    <row r="6" customFormat="false" ht="37.5" hidden="false" customHeight="true" outlineLevel="0" collapsed="false">
      <c r="B6" s="8" t="n">
        <v>13</v>
      </c>
      <c r="C6" s="8" t="n">
        <v>13</v>
      </c>
      <c r="D6" s="9" t="s">
        <v>166</v>
      </c>
      <c r="E6" s="10"/>
      <c r="F6" s="10"/>
    </row>
    <row r="7" customFormat="false" ht="24.75" hidden="false" customHeight="true" outlineLevel="0" collapsed="false">
      <c r="B7" s="8" t="n">
        <v>16</v>
      </c>
      <c r="C7" s="8" t="n">
        <v>16</v>
      </c>
      <c r="D7" s="9" t="s">
        <v>174</v>
      </c>
      <c r="E7" s="10"/>
      <c r="F7" s="10"/>
    </row>
    <row r="8" customFormat="false" ht="49.5" hidden="false" customHeight="true" outlineLevel="0" collapsed="false">
      <c r="B8" s="8" t="n">
        <v>19</v>
      </c>
      <c r="C8" s="8" t="n">
        <v>19</v>
      </c>
      <c r="D8" s="9" t="s">
        <v>183</v>
      </c>
      <c r="E8" s="10"/>
      <c r="F8" s="10"/>
    </row>
    <row r="9" customFormat="false" ht="24.75" hidden="false" customHeight="true" outlineLevel="0" collapsed="false">
      <c r="B9" s="8" t="n">
        <v>27</v>
      </c>
      <c r="C9" s="8" t="n">
        <v>27</v>
      </c>
      <c r="D9" s="9" t="s">
        <v>208</v>
      </c>
      <c r="E9" s="10"/>
      <c r="F9" s="10"/>
    </row>
    <row r="10" customFormat="false" ht="24.75" hidden="false" customHeight="true" outlineLevel="0" collapsed="false">
      <c r="B10" s="8" t="n">
        <v>32</v>
      </c>
      <c r="C10" s="8" t="n">
        <v>32</v>
      </c>
      <c r="D10" s="9" t="s">
        <v>219</v>
      </c>
      <c r="E10" s="10"/>
      <c r="F10" s="10"/>
    </row>
    <row r="11" customFormat="false" ht="37.5" hidden="false" customHeight="true" outlineLevel="0" collapsed="false">
      <c r="B11" s="8" t="n">
        <v>35</v>
      </c>
      <c r="C11" s="8" t="n">
        <v>35</v>
      </c>
      <c r="D11" s="9" t="s">
        <v>227</v>
      </c>
      <c r="E11" s="10"/>
      <c r="F11" s="10"/>
    </row>
    <row r="12" customFormat="false" ht="75" hidden="false" customHeight="true" outlineLevel="0" collapsed="false">
      <c r="B12" s="8" t="n">
        <v>40</v>
      </c>
      <c r="C12" s="8" t="n">
        <v>40</v>
      </c>
      <c r="D12" s="9" t="s">
        <v>238</v>
      </c>
      <c r="E12" s="10"/>
      <c r="F12" s="10"/>
    </row>
    <row r="13" customFormat="false" ht="37.5" hidden="false" customHeight="true" outlineLevel="0" collapsed="false">
      <c r="B13" s="8" t="n">
        <v>47</v>
      </c>
      <c r="C13" s="8" t="n">
        <v>47</v>
      </c>
      <c r="D13" s="9" t="s">
        <v>254</v>
      </c>
      <c r="E13" s="10"/>
      <c r="F13" s="10"/>
    </row>
    <row r="14" customFormat="false" ht="62.25" hidden="false" customHeight="true" outlineLevel="0" collapsed="false">
      <c r="B14" s="8" t="n">
        <v>55</v>
      </c>
      <c r="C14" s="8" t="n">
        <v>55</v>
      </c>
      <c r="D14" s="9" t="s">
        <v>273</v>
      </c>
      <c r="E14" s="10"/>
      <c r="F14" s="10"/>
    </row>
    <row r="15" customFormat="false" ht="24.75" hidden="false" customHeight="true" outlineLevel="0" collapsed="false">
      <c r="B15" s="8" t="n">
        <v>57</v>
      </c>
      <c r="C15" s="8" t="n">
        <v>57</v>
      </c>
      <c r="D15" s="9" t="s">
        <v>279</v>
      </c>
      <c r="E15" s="10"/>
      <c r="F15" s="10"/>
    </row>
    <row r="16" customFormat="false" ht="24.75" hidden="false" customHeight="true" outlineLevel="0" collapsed="false">
      <c r="B16" s="8" t="n">
        <v>72</v>
      </c>
      <c r="C16" s="8" t="n">
        <v>74</v>
      </c>
      <c r="D16" s="9" t="s">
        <v>308</v>
      </c>
      <c r="E16" s="10"/>
      <c r="F16" s="10"/>
    </row>
    <row r="17" customFormat="false" ht="24.75" hidden="false" customHeight="true" outlineLevel="0" collapsed="false">
      <c r="B17" s="8" t="n">
        <v>75</v>
      </c>
      <c r="C17" s="8" t="n">
        <v>77</v>
      </c>
      <c r="D17" s="9" t="s">
        <v>311</v>
      </c>
      <c r="E17" s="10"/>
      <c r="F17" s="10"/>
    </row>
    <row r="18" customFormat="false" ht="24.75" hidden="false" customHeight="true" outlineLevel="0" collapsed="false">
      <c r="B18" s="8" t="n">
        <v>77</v>
      </c>
      <c r="C18" s="8" t="n">
        <v>79</v>
      </c>
      <c r="D18" s="9" t="s">
        <v>314</v>
      </c>
      <c r="E18" s="10"/>
      <c r="F18" s="10"/>
    </row>
    <row r="19" customFormat="false" ht="62.25" hidden="false" customHeight="true" outlineLevel="0" collapsed="false">
      <c r="B19" s="8" t="n">
        <v>87</v>
      </c>
      <c r="C19" s="8" t="n">
        <v>89</v>
      </c>
      <c r="D19" s="9" t="s">
        <v>338</v>
      </c>
      <c r="E19" s="10"/>
      <c r="F19" s="10"/>
    </row>
    <row r="20" customFormat="false" ht="75" hidden="false" customHeight="true" outlineLevel="0" collapsed="false">
      <c r="B20" s="8" t="n">
        <v>89</v>
      </c>
      <c r="C20" s="8" t="n">
        <v>91</v>
      </c>
      <c r="D20" s="9" t="s">
        <v>343</v>
      </c>
      <c r="E20" s="10"/>
      <c r="F20" s="10"/>
    </row>
    <row r="21" customFormat="false" ht="75" hidden="false" customHeight="true" outlineLevel="0" collapsed="false">
      <c r="B21" s="8" t="n">
        <v>95</v>
      </c>
      <c r="C21" s="8" t="n">
        <v>97</v>
      </c>
      <c r="D21" s="9" t="s">
        <v>359</v>
      </c>
      <c r="E21" s="10"/>
      <c r="F21" s="10"/>
    </row>
    <row r="22" customFormat="false" ht="15" hidden="false" customHeight="true" outlineLevel="0" collapsed="false">
      <c r="B22" s="8" t="n">
        <v>100</v>
      </c>
      <c r="C22" s="8" t="n">
        <v>102</v>
      </c>
      <c r="D22" s="9" t="s">
        <v>371</v>
      </c>
      <c r="E22" s="10"/>
      <c r="F22" s="10"/>
    </row>
    <row r="23" customFormat="false" ht="49.5" hidden="false" customHeight="true" outlineLevel="0" collapsed="false">
      <c r="B23" s="8" t="n">
        <v>103</v>
      </c>
      <c r="C23" s="8" t="n">
        <v>105</v>
      </c>
      <c r="D23" s="9" t="s">
        <v>378</v>
      </c>
      <c r="E23" s="10"/>
      <c r="F23" s="10"/>
    </row>
    <row r="24" customFormat="false" ht="37.5" hidden="false" customHeight="true" outlineLevel="0" collapsed="false">
      <c r="B24" s="8" t="n">
        <v>108</v>
      </c>
      <c r="C24" s="8" t="n">
        <v>110</v>
      </c>
      <c r="D24" s="9" t="s">
        <v>389</v>
      </c>
      <c r="E24" s="10"/>
      <c r="F24" s="10"/>
    </row>
    <row r="25" customFormat="false" ht="75" hidden="false" customHeight="true" outlineLevel="0" collapsed="false">
      <c r="B25" s="8" t="n">
        <v>115</v>
      </c>
      <c r="C25" s="8" t="n">
        <v>117</v>
      </c>
      <c r="D25" s="9" t="s">
        <v>404</v>
      </c>
      <c r="E25" s="10"/>
      <c r="F25" s="10"/>
    </row>
    <row r="26" customFormat="false" ht="24.75" hidden="false" customHeight="true" outlineLevel="0" collapsed="false">
      <c r="B26" s="8" t="n">
        <v>121</v>
      </c>
      <c r="C26" s="8" t="n">
        <v>123</v>
      </c>
      <c r="D26" s="9" t="s">
        <v>416</v>
      </c>
      <c r="E26" s="10"/>
      <c r="F26" s="10"/>
    </row>
    <row r="27" customFormat="false" ht="37.5" hidden="false" customHeight="true" outlineLevel="0" collapsed="false">
      <c r="B27" s="8" t="n">
        <v>122</v>
      </c>
      <c r="C27" s="8" t="n">
        <v>124</v>
      </c>
      <c r="D27" s="9" t="s">
        <v>418</v>
      </c>
      <c r="E27" s="10"/>
      <c r="F27" s="10"/>
    </row>
    <row r="28" customFormat="false" ht="24.75" hidden="false" customHeight="true" outlineLevel="0" collapsed="false">
      <c r="B28" s="8" t="n">
        <v>129</v>
      </c>
      <c r="C28" s="8" t="n">
        <v>133</v>
      </c>
      <c r="D28" s="9" t="s">
        <v>434</v>
      </c>
      <c r="E28" s="10"/>
      <c r="F28" s="10"/>
    </row>
    <row r="29" customFormat="false" ht="62.25" hidden="false" customHeight="true" outlineLevel="0" collapsed="false">
      <c r="B29" s="8" t="n">
        <v>130</v>
      </c>
      <c r="C29" s="8" t="n">
        <v>134</v>
      </c>
      <c r="D29" s="9" t="s">
        <v>437</v>
      </c>
      <c r="E29" s="10"/>
      <c r="F29" s="10"/>
    </row>
    <row r="30" customFormat="false" ht="37.5" hidden="false" customHeight="true" outlineLevel="0" collapsed="false">
      <c r="B30" s="8" t="n">
        <v>134</v>
      </c>
      <c r="C30" s="8" t="n">
        <v>140</v>
      </c>
      <c r="D30" s="9" t="s">
        <v>447</v>
      </c>
      <c r="E30" s="10"/>
      <c r="F30" s="10"/>
    </row>
    <row r="31" customFormat="false" ht="37.5" hidden="false" customHeight="true" outlineLevel="0" collapsed="false">
      <c r="B31" s="8" t="n">
        <v>135</v>
      </c>
      <c r="C31" s="8" t="n">
        <v>141</v>
      </c>
      <c r="D31" s="9" t="s">
        <v>449</v>
      </c>
      <c r="E31" s="10"/>
      <c r="F31" s="10"/>
    </row>
    <row r="32" customFormat="false" ht="62.25" hidden="false" customHeight="true" outlineLevel="0" collapsed="false">
      <c r="B32" s="8" t="n">
        <v>142</v>
      </c>
      <c r="C32" s="8" t="n">
        <v>150</v>
      </c>
      <c r="D32" s="9" t="s">
        <v>463</v>
      </c>
      <c r="E32" s="10"/>
      <c r="F32" s="10"/>
    </row>
    <row r="33" customFormat="false" ht="37.5" hidden="false" customHeight="true" outlineLevel="0" collapsed="false">
      <c r="B33" s="8" t="n">
        <v>150</v>
      </c>
      <c r="C33" s="8" t="n">
        <v>159</v>
      </c>
      <c r="D33" s="9" t="s">
        <v>480</v>
      </c>
      <c r="E33" s="10"/>
      <c r="F33" s="10"/>
    </row>
    <row r="34" customFormat="false" ht="75" hidden="false" customHeight="true" outlineLevel="0" collapsed="false">
      <c r="B34" s="8" t="n">
        <v>151</v>
      </c>
      <c r="C34" s="8" t="n">
        <v>160</v>
      </c>
      <c r="D34" s="9" t="s">
        <v>482</v>
      </c>
      <c r="E34" s="10"/>
      <c r="F34" s="10"/>
    </row>
    <row r="35" customFormat="false" ht="24.75" hidden="false" customHeight="true" outlineLevel="0" collapsed="false">
      <c r="B35" s="8" t="n">
        <v>154</v>
      </c>
      <c r="C35" s="8" t="n">
        <v>164</v>
      </c>
      <c r="D35" s="9" t="s">
        <v>486</v>
      </c>
      <c r="E35" s="10"/>
      <c r="F35" s="10"/>
    </row>
    <row r="36" customFormat="false" ht="24.75" hidden="false" customHeight="true" outlineLevel="0" collapsed="false">
      <c r="B36" s="8" t="n">
        <v>155</v>
      </c>
      <c r="C36" s="8" t="n">
        <v>165</v>
      </c>
      <c r="D36" s="9" t="s">
        <v>489</v>
      </c>
      <c r="E36" s="10"/>
      <c r="F36" s="10"/>
    </row>
    <row r="37" customFormat="false" ht="15" hidden="false" customHeight="true" outlineLevel="0" collapsed="false">
      <c r="B37" s="8" t="n">
        <v>156</v>
      </c>
      <c r="C37" s="8" t="n">
        <v>166</v>
      </c>
      <c r="D37" s="9" t="s">
        <v>492</v>
      </c>
      <c r="E37" s="10"/>
      <c r="F37" s="10"/>
    </row>
    <row r="38" customFormat="false" ht="62.25" hidden="false" customHeight="true" outlineLevel="0" collapsed="false">
      <c r="B38" s="8" t="n">
        <v>170</v>
      </c>
      <c r="C38" s="8" t="n">
        <v>181</v>
      </c>
      <c r="D38" s="9" t="s">
        <v>524</v>
      </c>
      <c r="E38" s="10"/>
      <c r="F38" s="10"/>
    </row>
    <row r="39" customFormat="false" ht="49.5" hidden="false" customHeight="true" outlineLevel="0" collapsed="false">
      <c r="B39" s="8" t="n">
        <v>171</v>
      </c>
      <c r="C39" s="8" t="n">
        <v>182</v>
      </c>
      <c r="D39" s="9" t="s">
        <v>527</v>
      </c>
      <c r="E39" s="10"/>
      <c r="F39" s="10"/>
    </row>
    <row r="40" customFormat="false" ht="49.5" hidden="false" customHeight="true" outlineLevel="0" collapsed="false">
      <c r="B40" s="8" t="n">
        <v>173</v>
      </c>
      <c r="C40" s="8" t="n">
        <v>184</v>
      </c>
      <c r="D40" s="9" t="s">
        <v>531</v>
      </c>
      <c r="E40" s="10"/>
      <c r="F40" s="10"/>
    </row>
    <row r="41" customFormat="false" ht="37.5" hidden="false" customHeight="true" outlineLevel="0" collapsed="false">
      <c r="B41" s="8" t="n">
        <v>175</v>
      </c>
      <c r="C41" s="8" t="n">
        <v>187</v>
      </c>
      <c r="D41" s="9" t="s">
        <v>536</v>
      </c>
      <c r="E41" s="10"/>
      <c r="F41" s="10"/>
    </row>
    <row r="42" customFormat="false" ht="37.5" hidden="false" customHeight="true" outlineLevel="0" collapsed="false">
      <c r="B42" s="8" t="n">
        <v>176</v>
      </c>
      <c r="C42" s="8" t="n">
        <v>188</v>
      </c>
      <c r="D42" s="9" t="s">
        <v>538</v>
      </c>
      <c r="E42" s="10"/>
      <c r="F42" s="10"/>
    </row>
    <row r="43" customFormat="false" ht="62.25" hidden="false" customHeight="true" outlineLevel="0" collapsed="false">
      <c r="B43" s="8" t="n">
        <v>192</v>
      </c>
      <c r="C43" s="8" t="n">
        <v>211</v>
      </c>
      <c r="D43" s="9" t="s">
        <v>567</v>
      </c>
      <c r="E43" s="10"/>
      <c r="F43" s="10"/>
    </row>
    <row r="44" customFormat="false" ht="49.5" hidden="false" customHeight="true" outlineLevel="0" collapsed="false">
      <c r="B44" s="8" t="n">
        <v>198</v>
      </c>
      <c r="C44" s="8" t="n">
        <v>219</v>
      </c>
      <c r="D44" s="9" t="s">
        <v>578</v>
      </c>
      <c r="E44" s="10"/>
      <c r="F44" s="10"/>
    </row>
    <row r="45" customFormat="false" ht="24.75" hidden="false" customHeight="true" outlineLevel="0" collapsed="false">
      <c r="B45" s="8" t="n">
        <v>210</v>
      </c>
      <c r="C45" s="8" t="n">
        <v>233</v>
      </c>
      <c r="D45" s="9" t="s">
        <v>602</v>
      </c>
      <c r="E45" s="10"/>
      <c r="F45" s="10"/>
    </row>
    <row r="46" customFormat="false" ht="24.75" hidden="false" customHeight="true" outlineLevel="0" collapsed="false">
      <c r="B46" s="8" t="n">
        <v>211</v>
      </c>
      <c r="C46" s="8" t="n">
        <v>234</v>
      </c>
      <c r="D46" s="9" t="s">
        <v>604</v>
      </c>
      <c r="E46" s="10"/>
      <c r="F46" s="10"/>
    </row>
    <row r="47" customFormat="false" ht="112.5" hidden="false" customHeight="true" outlineLevel="0" collapsed="false">
      <c r="B47" s="8" t="n">
        <v>229</v>
      </c>
      <c r="C47" s="8" t="n">
        <v>253</v>
      </c>
      <c r="D47" s="9" t="s">
        <v>639</v>
      </c>
      <c r="E47" s="10"/>
      <c r="F47" s="10"/>
    </row>
    <row r="48" customFormat="false" ht="49.5" hidden="false" customHeight="true" outlineLevel="0" collapsed="false">
      <c r="B48" s="8" t="n">
        <v>234</v>
      </c>
      <c r="C48" s="8" t="n">
        <v>258</v>
      </c>
      <c r="D48" s="9" t="s">
        <v>649</v>
      </c>
      <c r="E48" s="10"/>
      <c r="F48" s="10"/>
    </row>
    <row r="49" customFormat="false" ht="24.75" hidden="false" customHeight="true" outlineLevel="0" collapsed="false">
      <c r="B49" s="8" t="n">
        <v>235</v>
      </c>
      <c r="C49" s="8" t="n">
        <v>259</v>
      </c>
      <c r="D49" s="9" t="s">
        <v>651</v>
      </c>
      <c r="E49" s="10"/>
      <c r="F49" s="10"/>
    </row>
    <row r="50" customFormat="false" ht="37.5" hidden="false" customHeight="true" outlineLevel="0" collapsed="false">
      <c r="B50" s="8" t="n">
        <v>239</v>
      </c>
      <c r="C50" s="8" t="n">
        <v>263</v>
      </c>
      <c r="D50" s="9" t="s">
        <v>659</v>
      </c>
      <c r="E50" s="10"/>
      <c r="F50" s="10"/>
    </row>
    <row r="51" customFormat="false" ht="15" hidden="false" customHeight="true" outlineLevel="0" collapsed="false">
      <c r="B51" s="8" t="n">
        <v>241</v>
      </c>
      <c r="C51" s="8" t="n">
        <v>265</v>
      </c>
      <c r="D51" s="9" t="s">
        <v>663</v>
      </c>
      <c r="E51" s="10"/>
      <c r="F51" s="10"/>
    </row>
    <row r="52" customFormat="false" ht="62.25" hidden="false" customHeight="true" outlineLevel="0" collapsed="false">
      <c r="B52" s="8" t="n">
        <v>257</v>
      </c>
      <c r="C52" s="8" t="n">
        <v>282</v>
      </c>
      <c r="D52" s="9" t="s">
        <v>694</v>
      </c>
      <c r="E52" s="10"/>
      <c r="F52" s="10"/>
    </row>
    <row r="53" customFormat="false" ht="62.25" hidden="false" customHeight="true" outlineLevel="0" collapsed="false">
      <c r="B53" s="8" t="n">
        <v>262</v>
      </c>
      <c r="C53" s="8" t="n">
        <v>287</v>
      </c>
      <c r="D53" s="9" t="s">
        <v>704</v>
      </c>
      <c r="E53" s="10"/>
      <c r="F53" s="10"/>
    </row>
    <row r="54" customFormat="false" ht="75" hidden="false" customHeight="true" outlineLevel="0" collapsed="false">
      <c r="B54" s="8" t="n">
        <v>264</v>
      </c>
      <c r="C54" s="8" t="n">
        <v>289</v>
      </c>
      <c r="D54" s="9" t="s">
        <v>708</v>
      </c>
      <c r="E54" s="10"/>
      <c r="F54" s="10"/>
    </row>
    <row r="56" customFormat="false" ht="15" hidden="false" customHeight="false" outlineLevel="0" collapsed="false">
      <c r="B56" s="14" t="s">
        <v>713</v>
      </c>
      <c r="D56" s="15" t="n">
        <f aca="false">COUNTA(E5:E54)</f>
        <v>0</v>
      </c>
    </row>
    <row r="57" customFormat="false" ht="15" hidden="false" customHeight="false" outlineLevel="0" collapsed="false">
      <c r="B57" s="14" t="s">
        <v>714</v>
      </c>
      <c r="D57" s="15" t="n">
        <f aca="false">COUNTA(F5:F54)</f>
        <v>0</v>
      </c>
    </row>
    <row r="58" customFormat="false" ht="15" hidden="false" customHeight="false" outlineLevel="0" collapsed="false">
      <c r="B58" s="14" t="s">
        <v>715</v>
      </c>
      <c r="D58" s="15" t="n">
        <f aca="false">SUMPRODUCT((E5:E54&lt;&gt;"")*(F5:F54&lt;&gt;"")*(E5:E54=F5:F54))</f>
        <v>0</v>
      </c>
    </row>
    <row r="59" customFormat="false" ht="15" hidden="false" customHeight="false" outlineLevel="0" collapsed="false">
      <c r="B59" s="14" t="s">
        <v>716</v>
      </c>
      <c r="D59" s="16" t="n">
        <f aca="false">IFERROR(D58/SUMPRODUCT((E5:E54&lt;&gt;"")*(F5:F54&lt;&gt;"")),0)</f>
        <v>0</v>
      </c>
    </row>
    <row r="61" customFormat="false" ht="30" hidden="false" customHeight="true" outlineLevel="0" collapsed="false">
      <c r="B61" s="13" t="s">
        <v>717</v>
      </c>
      <c r="C61" s="13"/>
      <c r="D61" s="13"/>
      <c r="E61" s="13"/>
      <c r="F61" s="13"/>
    </row>
  </sheetData>
  <mergeCells count="3">
    <mergeCell ref="B1:F1"/>
    <mergeCell ref="B2:F2"/>
    <mergeCell ref="B61:F61"/>
  </mergeCells>
  <dataValidations count="1">
    <dataValidation allowBlank="true" errorStyle="stop" operator="between" showDropDown="false" showErrorMessage="false" showInputMessage="false" sqref="E5:F54" type="list">
      <formula1>"Positif,Negatif,Netral,Tidak Relevan"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4"/>
    <col collapsed="false" customWidth="true" hidden="false" outlineLevel="0" max="4" min="4" style="0" width="16"/>
    <col collapsed="false" customWidth="true" hidden="false" outlineLevel="0" max="5" min="5" style="0" width="52"/>
  </cols>
  <sheetData>
    <row r="2" customFormat="false" ht="17.35" hidden="false" customHeight="false" outlineLevel="0" collapsed="false">
      <c r="B2" s="17" t="s">
        <v>720</v>
      </c>
    </row>
    <row r="4" customFormat="false" ht="15" hidden="false" customHeight="false" outlineLevel="0" collapsed="false">
      <c r="B4" s="18" t="s">
        <v>721</v>
      </c>
    </row>
    <row r="5" customFormat="false" ht="15" hidden="false" customHeight="false" outlineLevel="0" collapsed="false">
      <c r="B5" s="19" t="s">
        <v>722</v>
      </c>
      <c r="C5" s="19" t="s">
        <v>723</v>
      </c>
      <c r="D5" s="19" t="s">
        <v>724</v>
      </c>
    </row>
    <row r="6" customFormat="false" ht="15" hidden="false" customHeight="false" outlineLevel="0" collapsed="false">
      <c r="B6" s="20" t="s">
        <v>725</v>
      </c>
      <c r="C6" s="20" t="n">
        <f aca="false">COUNTIF(Relabeling!$H$2:$H$265,B6)</f>
        <v>0</v>
      </c>
      <c r="D6" s="21" t="n">
        <f aca="false">IFERROR(C6/$C$10,0)</f>
        <v>0</v>
      </c>
    </row>
    <row r="7" customFormat="false" ht="15" hidden="false" customHeight="false" outlineLevel="0" collapsed="false">
      <c r="B7" s="20" t="s">
        <v>726</v>
      </c>
      <c r="C7" s="20" t="n">
        <f aca="false">COUNTIF(Relabeling!$H$2:$H$265,B7)</f>
        <v>0</v>
      </c>
      <c r="D7" s="21" t="n">
        <f aca="false">IFERROR(C7/$C$10,0)</f>
        <v>0</v>
      </c>
    </row>
    <row r="8" customFormat="false" ht="15" hidden="false" customHeight="false" outlineLevel="0" collapsed="false">
      <c r="B8" s="20" t="s">
        <v>727</v>
      </c>
      <c r="C8" s="20" t="n">
        <f aca="false">COUNTIF(Relabeling!$H$2:$H$265,B8)</f>
        <v>0</v>
      </c>
      <c r="D8" s="21" t="n">
        <f aca="false">IFERROR(C8/$C$10,0)</f>
        <v>0</v>
      </c>
    </row>
    <row r="9" customFormat="false" ht="15" hidden="false" customHeight="false" outlineLevel="0" collapsed="false">
      <c r="B9" s="20" t="s">
        <v>728</v>
      </c>
      <c r="C9" s="20" t="n">
        <f aca="false">COUNTIF(Relabeling!$H$2:$H$265,B9)</f>
        <v>0</v>
      </c>
      <c r="D9" s="21" t="n">
        <f aca="false">IFERROR(C9/$C$10,0)</f>
        <v>0</v>
      </c>
    </row>
    <row r="10" customFormat="false" ht="15" hidden="false" customHeight="false" outlineLevel="0" collapsed="false">
      <c r="B10" s="22" t="s">
        <v>729</v>
      </c>
      <c r="C10" s="22" t="n">
        <f aca="false">SUM(C6:C9)</f>
        <v>0</v>
      </c>
    </row>
    <row r="11" customFormat="false" ht="15" hidden="false" customHeight="false" outlineLevel="0" collapsed="false">
      <c r="B11" s="20" t="s">
        <v>730</v>
      </c>
      <c r="C11" s="20" t="n">
        <f aca="false">COUNTBLANK(Relabeling!$H$2:$H$265)</f>
        <v>264</v>
      </c>
    </row>
    <row r="12" customFormat="false" ht="15" hidden="false" customHeight="false" outlineLevel="0" collapsed="false">
      <c r="B12" s="22" t="s">
        <v>731</v>
      </c>
      <c r="C12" s="22" t="n">
        <f aca="false">C6+C7+C8</f>
        <v>0</v>
      </c>
      <c r="E12" s="23" t="s">
        <v>732</v>
      </c>
    </row>
    <row r="15" customFormat="false" ht="15" hidden="false" customHeight="false" outlineLevel="0" collapsed="false">
      <c r="B15" s="18" t="s">
        <v>733</v>
      </c>
    </row>
    <row r="16" customFormat="false" ht="15" hidden="false" customHeight="false" outlineLevel="0" collapsed="false">
      <c r="B16" s="19" t="s">
        <v>734</v>
      </c>
      <c r="C16" s="19" t="s">
        <v>735</v>
      </c>
      <c r="D16" s="19" t="s">
        <v>736</v>
      </c>
      <c r="E16" s="19" t="s">
        <v>737</v>
      </c>
    </row>
    <row r="17" customFormat="false" ht="15" hidden="false" customHeight="false" outlineLevel="0" collapsed="false">
      <c r="B17" s="20" t="s">
        <v>738</v>
      </c>
      <c r="C17" s="21" t="n">
        <f aca="false">'Uji Keandalan Awal'!D49</f>
        <v>0</v>
      </c>
      <c r="D17" s="24" t="s">
        <v>739</v>
      </c>
      <c r="E17" s="20" t="s">
        <v>740</v>
      </c>
    </row>
    <row r="18" customFormat="false" ht="15" hidden="false" customHeight="false" outlineLevel="0" collapsed="false">
      <c r="B18" s="20" t="s">
        <v>741</v>
      </c>
      <c r="C18" s="21" t="n">
        <f aca="false">'Uji Keandalan Akhir'!D59</f>
        <v>0</v>
      </c>
      <c r="D18" s="24" t="s">
        <v>739</v>
      </c>
      <c r="E18" s="20" t="s">
        <v>742</v>
      </c>
    </row>
    <row r="20" customFormat="false" ht="15" hidden="false" customHeight="false" outlineLevel="0" collapsed="false">
      <c r="B20" s="23" t="s">
        <v>743</v>
      </c>
    </row>
    <row r="23" customFormat="false" ht="15" hidden="false" customHeight="false" outlineLevel="0" collapsed="false">
      <c r="B23" s="18" t="s">
        <v>744</v>
      </c>
    </row>
    <row r="24" customFormat="false" ht="15" hidden="false" customHeight="false" outlineLevel="0" collapsed="false">
      <c r="B24" s="19" t="s">
        <v>722</v>
      </c>
      <c r="C24" s="19" t="s">
        <v>745</v>
      </c>
      <c r="D24" s="19" t="s">
        <v>746</v>
      </c>
    </row>
    <row r="25" customFormat="false" ht="15" hidden="false" customHeight="false" outlineLevel="0" collapsed="false">
      <c r="B25" s="20" t="s">
        <v>725</v>
      </c>
      <c r="C25" s="20" t="n">
        <f aca="false">COUNTIF(Relabeling!$F$2:$F$265,B25)</f>
        <v>62</v>
      </c>
      <c r="D25" s="20" t="n">
        <f aca="false">COUNTIF(Relabeling!$H$2:$H$265,B25)</f>
        <v>0</v>
      </c>
    </row>
    <row r="26" customFormat="false" ht="15" hidden="false" customHeight="false" outlineLevel="0" collapsed="false">
      <c r="B26" s="20" t="s">
        <v>726</v>
      </c>
      <c r="C26" s="20" t="n">
        <f aca="false">COUNTIF(Relabeling!$F$2:$F$265,B26)</f>
        <v>126</v>
      </c>
      <c r="D26" s="20" t="n">
        <f aca="false">COUNTIF(Relabeling!$H$2:$H$265,B26)</f>
        <v>0</v>
      </c>
    </row>
    <row r="27" customFormat="false" ht="15" hidden="false" customHeight="false" outlineLevel="0" collapsed="false">
      <c r="B27" s="20" t="s">
        <v>727</v>
      </c>
      <c r="C27" s="20" t="n">
        <f aca="false">COUNTIF(Relabeling!$F$2:$F$265,B27)</f>
        <v>75</v>
      </c>
      <c r="D27" s="20" t="n">
        <f aca="false">COUNTIF(Relabeling!$H$2:$H$265,B27)</f>
        <v>0</v>
      </c>
    </row>
    <row r="28" customFormat="false" ht="15" hidden="false" customHeight="false" outlineLevel="0" collapsed="false">
      <c r="B28" s="22" t="s">
        <v>747</v>
      </c>
      <c r="C28" s="22" t="n">
        <f aca="false">SUMPRODUCT((Relabeling!$H$2:$H$265&lt;&gt;"")*(LOWER(Relabeling!$H$2:$H$265)&lt;&gt;Relabeling!$F$2:$F$265))</f>
        <v>0</v>
      </c>
    </row>
    <row r="31" customFormat="false" ht="15" hidden="false" customHeight="false" outlineLevel="0" collapsed="false">
      <c r="B31" s="18" t="s">
        <v>748</v>
      </c>
    </row>
    <row r="32" customFormat="false" ht="15" hidden="false" customHeight="false" outlineLevel="0" collapsed="false">
      <c r="B32" s="20" t="s">
        <v>749</v>
      </c>
      <c r="C32" s="20" t="n">
        <v>289</v>
      </c>
    </row>
    <row r="33" customFormat="false" ht="15" hidden="false" customHeight="false" outlineLevel="0" collapsed="false">
      <c r="B33" s="20" t="s">
        <v>750</v>
      </c>
      <c r="C33" s="20" t="n">
        <v>25</v>
      </c>
    </row>
    <row r="34" customFormat="false" ht="15" hidden="false" customHeight="false" outlineLevel="0" collapsed="false">
      <c r="B34" s="20" t="s">
        <v>751</v>
      </c>
      <c r="C34" s="20" t="n">
        <v>264</v>
      </c>
    </row>
    <row r="35" customFormat="false" ht="15" hidden="false" customHeight="false" outlineLevel="0" collapsed="false">
      <c r="B35" s="20" t="s">
        <v>752</v>
      </c>
      <c r="C35" s="20" t="n">
        <v>7</v>
      </c>
    </row>
    <row r="36" customFormat="false" ht="15" hidden="false" customHeight="false" outlineLevel="0" collapsed="false">
      <c r="B36" s="20" t="s">
        <v>753</v>
      </c>
      <c r="C36" s="20" t="n">
        <v>1</v>
      </c>
    </row>
    <row r="37" customFormat="false" ht="15" hidden="false" customHeight="false" outlineLevel="0" collapsed="false">
      <c r="B37" s="20" t="s">
        <v>754</v>
      </c>
      <c r="C37" s="20" t="n">
        <v>95</v>
      </c>
    </row>
    <row r="38" customFormat="false" ht="15" hidden="false" customHeight="false" outlineLevel="0" collapsed="false">
      <c r="B38" s="23" t="s">
        <v>755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2"/>
    <col collapsed="false" customWidth="true" hidden="false" outlineLevel="0" max="4" min="4" style="0" width="15"/>
    <col collapsed="false" customWidth="true" hidden="false" outlineLevel="0" max="5" min="5" style="0" width="88"/>
  </cols>
  <sheetData>
    <row r="1" customFormat="false" ht="27.75" hidden="false" customHeight="true" outlineLevel="0" collapsed="false">
      <c r="A1" s="7" t="s">
        <v>756</v>
      </c>
      <c r="B1" s="7" t="s">
        <v>117</v>
      </c>
      <c r="C1" s="7" t="s">
        <v>120</v>
      </c>
      <c r="D1" s="7" t="s">
        <v>757</v>
      </c>
      <c r="E1" s="7" t="s">
        <v>758</v>
      </c>
    </row>
    <row r="2" customFormat="false" ht="23.85" hidden="false" customHeight="false" outlineLevel="0" collapsed="false">
      <c r="A2" s="8" t="n">
        <v>62</v>
      </c>
      <c r="B2" s="8" t="s">
        <v>262</v>
      </c>
      <c r="C2" s="8" t="s">
        <v>132</v>
      </c>
      <c r="D2" s="8" t="n">
        <v>51</v>
      </c>
      <c r="E2" s="9" t="s">
        <v>264</v>
      </c>
    </row>
    <row r="3" customFormat="false" ht="23.85" hidden="false" customHeight="false" outlineLevel="0" collapsed="false">
      <c r="A3" s="8" t="n">
        <v>63</v>
      </c>
      <c r="B3" s="8" t="s">
        <v>265</v>
      </c>
      <c r="C3" s="8" t="s">
        <v>128</v>
      </c>
      <c r="D3" s="8" t="n">
        <v>52</v>
      </c>
      <c r="E3" s="9" t="s">
        <v>759</v>
      </c>
    </row>
    <row r="4" customFormat="false" ht="23.85" hidden="false" customHeight="false" outlineLevel="0" collapsed="false">
      <c r="A4" s="8" t="n">
        <v>125</v>
      </c>
      <c r="B4" s="8" t="s">
        <v>344</v>
      </c>
      <c r="C4" s="8" t="s">
        <v>132</v>
      </c>
      <c r="D4" s="8" t="n">
        <v>92</v>
      </c>
      <c r="E4" s="9" t="s">
        <v>760</v>
      </c>
    </row>
    <row r="5" customFormat="false" ht="46.25" hidden="false" customHeight="false" outlineLevel="0" collapsed="false">
      <c r="A5" s="8" t="n">
        <v>132</v>
      </c>
      <c r="B5" s="8" t="s">
        <v>341</v>
      </c>
      <c r="C5" s="8" t="s">
        <v>128</v>
      </c>
      <c r="D5" s="8" t="n">
        <v>91</v>
      </c>
      <c r="E5" s="9" t="s">
        <v>761</v>
      </c>
    </row>
    <row r="6" customFormat="false" ht="23.85" hidden="false" customHeight="false" outlineLevel="0" collapsed="false">
      <c r="A6" s="8" t="n">
        <v>135</v>
      </c>
      <c r="B6" s="8" t="s">
        <v>375</v>
      </c>
      <c r="C6" s="8" t="s">
        <v>142</v>
      </c>
      <c r="D6" s="8" t="n">
        <v>104</v>
      </c>
      <c r="E6" s="9" t="s">
        <v>762</v>
      </c>
    </row>
    <row r="7" customFormat="false" ht="23.85" hidden="false" customHeight="false" outlineLevel="0" collapsed="false">
      <c r="A7" s="8" t="n">
        <v>138</v>
      </c>
      <c r="B7" s="8" t="s">
        <v>392</v>
      </c>
      <c r="C7" s="8" t="s">
        <v>132</v>
      </c>
      <c r="D7" s="8" t="n">
        <v>112</v>
      </c>
      <c r="E7" s="9" t="s">
        <v>763</v>
      </c>
    </row>
    <row r="8" customFormat="false" ht="23.85" hidden="false" customHeight="false" outlineLevel="0" collapsed="false">
      <c r="A8" s="8" t="n">
        <v>144</v>
      </c>
      <c r="B8" s="8" t="s">
        <v>175</v>
      </c>
      <c r="C8" s="8" t="s">
        <v>132</v>
      </c>
      <c r="D8" s="8" t="n">
        <v>17</v>
      </c>
      <c r="E8" s="9" t="s">
        <v>764</v>
      </c>
    </row>
    <row r="9" customFormat="false" ht="23.85" hidden="false" customHeight="false" outlineLevel="0" collapsed="false">
      <c r="A9" s="8" t="n">
        <v>149</v>
      </c>
      <c r="B9" s="8" t="s">
        <v>202</v>
      </c>
      <c r="C9" s="8" t="s">
        <v>132</v>
      </c>
      <c r="D9" s="8" t="n">
        <v>26</v>
      </c>
      <c r="E9" s="9" t="s">
        <v>765</v>
      </c>
    </row>
    <row r="10" customFormat="false" ht="23.85" hidden="false" customHeight="false" outlineLevel="0" collapsed="false">
      <c r="A10" s="8" t="n">
        <v>151</v>
      </c>
      <c r="B10" s="8" t="s">
        <v>184</v>
      </c>
      <c r="C10" s="8" t="s">
        <v>142</v>
      </c>
      <c r="D10" s="8" t="n">
        <v>30</v>
      </c>
      <c r="E10" s="9" t="s">
        <v>766</v>
      </c>
    </row>
    <row r="11" customFormat="false" ht="46.25" hidden="false" customHeight="false" outlineLevel="0" collapsed="false">
      <c r="A11" s="8" t="n">
        <v>162</v>
      </c>
      <c r="B11" s="8" t="s">
        <v>164</v>
      </c>
      <c r="C11" s="8" t="s">
        <v>142</v>
      </c>
      <c r="D11" s="8" t="n">
        <v>13</v>
      </c>
      <c r="E11" s="9" t="s">
        <v>767</v>
      </c>
    </row>
    <row r="12" customFormat="false" ht="23.85" hidden="false" customHeight="false" outlineLevel="0" collapsed="false">
      <c r="A12" s="8" t="n">
        <v>167</v>
      </c>
      <c r="B12" s="8" t="s">
        <v>181</v>
      </c>
      <c r="C12" s="8" t="s">
        <v>142</v>
      </c>
      <c r="D12" s="8" t="n">
        <v>19</v>
      </c>
      <c r="E12" s="9" t="s">
        <v>768</v>
      </c>
    </row>
    <row r="13" customFormat="false" ht="35.05" hidden="false" customHeight="false" outlineLevel="0" collapsed="false">
      <c r="A13" s="8" t="n">
        <v>186</v>
      </c>
      <c r="B13" s="8" t="s">
        <v>211</v>
      </c>
      <c r="C13" s="8" t="s">
        <v>142</v>
      </c>
      <c r="D13" s="8" t="n">
        <v>29</v>
      </c>
      <c r="E13" s="9" t="s">
        <v>769</v>
      </c>
    </row>
    <row r="14" customFormat="false" ht="35.05" hidden="false" customHeight="false" outlineLevel="0" collapsed="false">
      <c r="A14" s="8" t="n">
        <v>190</v>
      </c>
      <c r="B14" s="8" t="s">
        <v>149</v>
      </c>
      <c r="C14" s="8" t="s">
        <v>142</v>
      </c>
      <c r="D14" s="8" t="n">
        <v>118</v>
      </c>
      <c r="E14" s="9" t="s">
        <v>770</v>
      </c>
    </row>
    <row r="15" customFormat="false" ht="35.05" hidden="false" customHeight="false" outlineLevel="0" collapsed="false">
      <c r="A15" s="8" t="n">
        <v>192</v>
      </c>
      <c r="B15" s="8" t="s">
        <v>211</v>
      </c>
      <c r="C15" s="8" t="s">
        <v>142</v>
      </c>
      <c r="D15" s="8" t="n">
        <v>29</v>
      </c>
      <c r="E15" s="9" t="s">
        <v>769</v>
      </c>
    </row>
    <row r="16" customFormat="false" ht="23.85" hidden="false" customHeight="false" outlineLevel="0" collapsed="false">
      <c r="A16" s="8" t="n">
        <v>193</v>
      </c>
      <c r="B16" s="8" t="s">
        <v>199</v>
      </c>
      <c r="C16" s="8" t="s">
        <v>128</v>
      </c>
      <c r="D16" s="8" t="n">
        <v>152</v>
      </c>
      <c r="E16" s="9" t="s">
        <v>771</v>
      </c>
    </row>
    <row r="17" customFormat="false" ht="23.85" hidden="false" customHeight="false" outlineLevel="0" collapsed="false">
      <c r="A17" s="8" t="n">
        <v>203</v>
      </c>
      <c r="B17" s="8" t="s">
        <v>508</v>
      </c>
      <c r="C17" s="8" t="s">
        <v>132</v>
      </c>
      <c r="D17" s="8" t="n">
        <v>174</v>
      </c>
      <c r="E17" s="9" t="s">
        <v>772</v>
      </c>
    </row>
    <row r="18" customFormat="false" ht="35.05" hidden="false" customHeight="false" outlineLevel="0" collapsed="false">
      <c r="A18" s="8" t="n">
        <v>207</v>
      </c>
      <c r="B18" s="8" t="s">
        <v>152</v>
      </c>
      <c r="C18" s="8" t="s">
        <v>142</v>
      </c>
      <c r="D18" s="8" t="n">
        <v>9</v>
      </c>
      <c r="E18" s="9" t="s">
        <v>773</v>
      </c>
    </row>
    <row r="19" customFormat="false" ht="35.05" hidden="false" customHeight="false" outlineLevel="0" collapsed="false">
      <c r="A19" s="8" t="n">
        <v>209</v>
      </c>
      <c r="B19" s="8" t="s">
        <v>472</v>
      </c>
      <c r="C19" s="8" t="s">
        <v>132</v>
      </c>
      <c r="D19" s="8" t="n">
        <v>156</v>
      </c>
      <c r="E19" s="9" t="s">
        <v>474</v>
      </c>
    </row>
    <row r="20" customFormat="false" ht="23.85" hidden="false" customHeight="false" outlineLevel="0" collapsed="false">
      <c r="A20" s="8" t="n">
        <v>210</v>
      </c>
      <c r="B20" s="8" t="s">
        <v>392</v>
      </c>
      <c r="C20" s="8" t="s">
        <v>132</v>
      </c>
      <c r="D20" s="8" t="n">
        <v>112</v>
      </c>
      <c r="E20" s="9" t="s">
        <v>763</v>
      </c>
    </row>
    <row r="21" customFormat="false" ht="35.05" hidden="false" customHeight="false" outlineLevel="0" collapsed="false">
      <c r="A21" s="8" t="n">
        <v>212</v>
      </c>
      <c r="B21" s="8" t="s">
        <v>215</v>
      </c>
      <c r="C21" s="8" t="s">
        <v>132</v>
      </c>
      <c r="D21" s="8" t="n">
        <v>31</v>
      </c>
      <c r="E21" s="9" t="s">
        <v>774</v>
      </c>
    </row>
    <row r="22" customFormat="false" ht="23.85" hidden="false" customHeight="false" outlineLevel="0" collapsed="false">
      <c r="A22" s="8" t="n">
        <v>218</v>
      </c>
      <c r="B22" s="8" t="s">
        <v>461</v>
      </c>
      <c r="C22" s="8" t="s">
        <v>128</v>
      </c>
      <c r="D22" s="8" t="n">
        <v>150</v>
      </c>
      <c r="E22" s="9" t="s">
        <v>775</v>
      </c>
    </row>
    <row r="23" customFormat="false" ht="23.85" hidden="false" customHeight="false" outlineLevel="0" collapsed="false">
      <c r="A23" s="8" t="n">
        <v>222</v>
      </c>
      <c r="B23" s="8" t="s">
        <v>352</v>
      </c>
      <c r="C23" s="8" t="s">
        <v>132</v>
      </c>
      <c r="D23" s="8" t="n">
        <v>95</v>
      </c>
      <c r="E23" s="9" t="s">
        <v>776</v>
      </c>
    </row>
    <row r="24" customFormat="false" ht="23.85" hidden="false" customHeight="false" outlineLevel="0" collapsed="false">
      <c r="A24" s="8" t="n">
        <v>228</v>
      </c>
      <c r="B24" s="8" t="s">
        <v>339</v>
      </c>
      <c r="C24" s="8" t="s">
        <v>132</v>
      </c>
      <c r="D24" s="8" t="n">
        <v>90</v>
      </c>
      <c r="E24" s="9" t="s">
        <v>340</v>
      </c>
    </row>
    <row r="25" customFormat="false" ht="35.05" hidden="false" customHeight="false" outlineLevel="0" collapsed="false">
      <c r="A25" s="8" t="n">
        <v>240</v>
      </c>
      <c r="B25" s="8" t="s">
        <v>412</v>
      </c>
      <c r="C25" s="8" t="s">
        <v>142</v>
      </c>
      <c r="D25" s="8" t="n">
        <v>122</v>
      </c>
      <c r="E25" s="9" t="s">
        <v>777</v>
      </c>
    </row>
    <row r="26" customFormat="false" ht="23.85" hidden="false" customHeight="false" outlineLevel="0" collapsed="false">
      <c r="A26" s="8" t="n">
        <v>269</v>
      </c>
      <c r="B26" s="8" t="s">
        <v>379</v>
      </c>
      <c r="C26" s="8" t="s">
        <v>132</v>
      </c>
      <c r="D26" s="8" t="n">
        <v>106</v>
      </c>
      <c r="E26" s="9" t="s">
        <v>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2026-08-19T18:35:38Z</dcterms:created>
  <dc:creator>openpyxl</dc:creator>
  <dc:description/>
  <dc:language>en-US</dc:language>
  <cp:lastModifiedBy/>
  <dcterms:modified xsi:type="dcterms:W3CDTF">2026-08-19T18:35:38Z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